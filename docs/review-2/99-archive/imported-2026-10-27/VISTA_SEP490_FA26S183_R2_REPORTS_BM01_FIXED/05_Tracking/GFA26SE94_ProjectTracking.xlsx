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84c3196f4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8" r:id="R4fd86fe967be4422"/>
    <x:sheet xmlns:r="http://schemas.openxmlformats.org/officeDocument/2006/relationships" name="Issues" sheetId="1" r:id="R9796b3922fa64336"/>
    <x:sheet xmlns:r="http://schemas.openxmlformats.org/officeDocument/2006/relationships" name="Defects" sheetId="6" r:id="R015bf51afade4314"/>
    <x:sheet xmlns:r="http://schemas.openxmlformats.org/officeDocument/2006/relationships" name="Q&amp;A" sheetId="7" r:id="Ra7923fc7318b4837"/>
  </x:sheets>
</x:workbook>
</file>

<file path=xl/sharedStrings.xml><?xml version="1.0" encoding="utf-8"?>
<x:sst xmlns:x="http://schemas.openxmlformats.org/spreadsheetml/2006/main">
  <x:si>
    <x:t xml:space="preserve">PROJECT WORK BREAKDOWN STRUCTURE</x:t>
  </x:si>
  <x:si>
    <x:t xml:space="preserve">#</x:t>
  </x:si>
  <x:si>
    <x:t xml:space="preserve">Function/Screen</x:t>
  </x:si>
  <x:si>
    <x:t xml:space="preserve">Feature</x:t>
  </x:si>
  <x:si>
    <x:t xml:space="preserve">Level*</x:t>
  </x:si>
  <x:si>
    <x:t xml:space="preserve">Function/Screen Details</x:t>
  </x:si>
  <x:si>
    <x:t xml:space="preserve">Planned</x:t>
  </x:si>
  <x:si>
    <x:t xml:space="preserve">Status</x:t>
  </x:si>
  <x:si>
    <x:t xml:space="preserve">(*) You can rate the functions' complexity based on the number of fields on the screens or the number of transactions in the function, with the details as below</x:t>
  </x:si>
  <x:si>
    <x:t xml:space="preserve">simple</x:t>
  </x:si>
  <x:si>
    <x:t xml:space="preserve">&lt;=7 fields</x:t>
  </x:si>
  <x:si>
    <x:t xml:space="preserve">&lt;=3 transactions</x:t>
  </x:si>
  <x:si>
    <x:t xml:space="preserve">medium</x:t>
  </x:si>
  <x:si>
    <x:t xml:space="preserve">&lt;=15 fields</x:t>
  </x:si>
  <x:si>
    <x:t xml:space="preserve">&lt;= 7 transactions</x:t>
  </x:si>
  <x:si>
    <x:t xml:space="preserve">complex</x:t>
  </x:si>
  <x:si>
    <x:t xml:space="preserve">&gt;15 fields</x:t>
  </x:si>
  <x:si>
    <x:t xml:space="preserve">&gt; 7 transactions</x:t>
  </x:si>
  <x:si>
    <x:t xml:space="preserve">In which:</x:t>
  </x:si>
  <x:si>
    <x:t xml:space="preserve">fields: screen components or database table fields</x:t>
  </x:si>
  <x:si>
    <x:t xml:space="preserve">transactions: action buttons, user or database transactions</x:t>
  </x:si>
  <x:si>
    <x:t xml:space="preserve">PROJECT ISSUES</x:t>
  </x:si>
  <x:si>
    <x:t xml:space="preserve">Issue</x:t>
  </x:si>
  <x:si>
    <x:t xml:space="preserve">Potential Impact</x:t>
  </x:si>
  <x:si>
    <x:t xml:space="preserve">Priority</x:t>
  </x:si>
  <x:si>
    <x:t xml:space="preserve">Owner</x:t>
  </x:si>
  <x:si>
    <x:t xml:space="preserve">Open Date</x:t>
  </x:si>
  <x:si>
    <x:t xml:space="preserve">Close Date</x:t>
  </x:si>
  <x:si>
    <x:t xml:space="preserve">Notes</x:t>
  </x:si>
  <x:si>
    <x:t xml:space="preserve">PROJECT DEFECTS</x:t>
  </x:si>
  <x:si>
    <x:t xml:space="preserve">Tester</x:t>
  </x:si>
  <x:si>
    <x:t xml:space="preserve">Defect Description</x:t>
  </x:si>
  <x:si>
    <x:t xml:space="preserve">Assign To</x:t>
  </x:si>
  <x:si>
    <x:t xml:space="preserve">PROJECT Q&amp;A</x:t>
  </x:si>
  <x:si>
    <x:t xml:space="preserve">Date</x:t>
  </x:si>
  <x:si>
    <x:t xml:space="preserve">Question</x:t>
  </x:si>
  <x:si>
    <x:t xml:space="preserve">By</x:t>
  </x:si>
  <x:si>
    <x:t xml:space="preserve">Note (answer, other notes)</x:t>
  </x:si>
  <x:si>
    <x:t xml:space="preserve">Medium</x:t>
  </x:si>
  <x:si>
    <x:t xml:space="preserve">Open</x:t>
  </x:si>
</x:sst>
</file>

<file path=xl/styles.xml><?xml version="1.0" encoding="utf-8"?>
<x:styleSheet xmlns:x="http://schemas.openxmlformats.org/spreadsheetml/2006/main">
  <x:fonts count="14">
    <x:font>
      <x:sz val="10"/>
      <x:color rgb="FF000000"/>
      <x:name val="Arial"/>
    </x:font>
    <x:font>
      <x:sz val="11"/>
      <x:color rgb="FF000000"/>
      <x:name val="Calibri"/>
    </x:font>
    <x:font>
      <x:sz val="12"/>
      <x:color rgb="FF000000"/>
      <x:name val="Calibri"/>
    </x:font>
    <x:font>
      <x:sz val="10"/>
      <x:color theme="1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2"/>
      <x:color rgb="FF000000"/>
      <x:name val="Arial"/>
    </x:font>
    <x:font>
      <x:sz val="11"/>
      <x:color theme="1"/>
      <x:name val="Arial"/>
    </x:font>
    <x:font>
      <x:b/>
      <x:sz val="15"/>
      <x:color rgb="FF000000"/>
      <x:name val="Arial"/>
    </x:font>
    <x:font>
      <x:b/>
      <x:sz val="14"/>
      <x:color theme="1"/>
      <x:name val="Arial"/>
    </x:font>
    <x:font>
      <x:b/>
      <x:sz val="11"/>
      <x:color theme="1"/>
      <x:name val="Calibri"/>
    </x:font>
    <x:font>
      <x:sz val="12"/>
      <x:color theme="1"/>
      <x:name val="Calibri"/>
    </x:font>
    <x:font>
      <x:sz val="1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E8E1"/>
      </x:patternFill>
    </x:fill>
    <x:fill>
      <x:patternFill patternType="solid">
        <x:fgColor rgb="FFF7CAAC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3">
    <x:xf numFmtId="0" fontId="0" fillId="0" borderId="0"/>
    <x:xf numFmtId="0" fontId="4" fillId="0" borderId="0"/>
    <x:xf numFmtId="0" fontId="7" fillId="0" borderId="0"/>
  </x:cellStyleXfs>
  <x:cellXfs count="69">
    <x:xf numFmtId="0" fontId="0" fillId="0" borderId="0" xfId="0" applyFont="1" applyAlignment="1"/>
    <x:xf numFmtId="0" fontId="1" fillId="0" borderId="1" xfId="0" applyFont="1" applyBorder="1" applyAlignment="1"/>
    <x:xf numFmtId="0" fontId="2" fillId="0" borderId="1" xfId="0" applyFont="1" applyBorder="1" applyAlignment="1"/>
    <x:xf numFmtId="0" fontId="1" fillId="0" borderId="1" xfId="0" applyFont="1" applyBorder="1" applyAlignment="1"/>
    <x:xf numFmtId="0" fontId="3" fillId="0" borderId="1" xfId="0" applyFont="1" applyBorder="1"/>
    <x:xf numFmtId="0" fontId="0" fillId="0" borderId="0" xfId="0" applyFont="1" applyAlignment="1">
      <x:alignment horizontal="left"/>
    </x:xf>
    <x:xf numFmtId="0" fontId="2" fillId="0" borderId="1" xfId="0" applyFont="1" applyBorder="1" applyAlignment="1">
      <x:alignment horizontal="center"/>
    </x:xf>
    <x:xf numFmtId="0" fontId="0" fillId="0" borderId="0" xfId="0" applyFont="1" applyAlignment="1">
      <x:alignment horizontal="center"/>
    </x:xf>
    <x:xf numFmtId="0" fontId="0" fillId="0" borderId="2" xfId="0" applyFont="1" applyBorder="1" applyAlignment="1"/>
    <x:xf numFmtId="0" fontId="3" fillId="0" borderId="1" xfId="0" applyFont="1" applyBorder="1" applyAlignment="1">
      <x:alignment vertical="top"/>
    </x:xf>
    <x:xf numFmtId="0" fontId="5" fillId="2" borderId="2" xfId="1" applyFont="1" applyFill="1" applyBorder="1" applyAlignment="1">
      <x:alignment vertical="center"/>
    </x:xf>
    <x:xf numFmtId="0" fontId="6" fillId="0" borderId="0" xfId="0" applyFont="1" applyAlignment="1"/>
    <x:xf numFmtId="0" fontId="6" fillId="0" borderId="0" xfId="0" applyFont="1" applyAlignment="1">
      <x:alignment horizontal="left"/>
    </x:xf>
    <x:xf numFmtId="0" fontId="2" fillId="0" borderId="2" xfId="0" applyFont="1" applyBorder="1" applyAlignment="1"/>
    <x:xf numFmtId="0" fontId="7" fillId="0" borderId="0" xfId="2" applyAlignment="1">
      <x:alignment horizontal="center"/>
    </x:xf>
    <x:xf numFmtId="0" fontId="7" fillId="0" borderId="0" xfId="2"/>
    <x:xf numFmtId="0" fontId="8" fillId="0" borderId="0" xfId="2" applyFont="1" applyAlignment="1">
      <x:alignment horizontal="left" vertical="center"/>
    </x:xf>
    <x:xf numFmtId="0" fontId="9" fillId="0" borderId="0" xfId="2" applyFont="1" applyAlignment="1">
      <x:alignment horizontal="center"/>
    </x:xf>
    <x:xf numFmtId="0" fontId="10" fillId="3" borderId="2" xfId="2" applyFont="1" applyFill="1" applyBorder="1" applyAlignment="1">
      <x:alignment horizontal="left" vertical="top" wrapText="1"/>
    </x:xf>
    <x:xf numFmtId="0" fontId="3" fillId="0" borderId="2" xfId="2" applyFont="1" applyBorder="1" applyAlignment="1">
      <x:alignment horizontal="center" vertical="top" wrapText="1"/>
    </x:xf>
    <x:xf numFmtId="0" fontId="3" fillId="0" borderId="2" xfId="2" applyFont="1" applyBorder="1" applyAlignment="1">
      <x:alignment vertical="top" wrapText="1"/>
    </x:xf>
    <x:xf numFmtId="0" fontId="11" fillId="0" borderId="2" xfId="2" applyFont="1" applyBorder="1" applyAlignment="1">
      <x:alignment vertical="top" wrapText="1"/>
    </x:xf>
    <x:xf numFmtId="0" fontId="3" fillId="0" borderId="2" xfId="2" applyFont="1" applyBorder="1" applyAlignment="1">
      <x:alignment vertical="top" wrapText="1"/>
    </x:xf>
    <x:xf numFmtId="0" fontId="12" fillId="4" borderId="0" xfId="2" applyFont="1" applyFill="1"/>
    <x:xf numFmtId="0" fontId="13" fillId="0" borderId="0" xfId="2" applyFont="1"/>
    <x:xf numFmtId="0" fontId="12" fillId="0" borderId="0" xfId="2" applyFont="1" applyAlignment="1">
      <x:alignment horizontal="right"/>
    </x:xf>
    <x:xf numFmtId="0" fontId="12" fillId="0" borderId="0" xfId="2" applyFont="1" applyAlignment="1">
      <x:alignment horizontal="center"/>
    </x:xf>
    <x:xf numFmtId="0" fontId="12" fillId="0" borderId="0" xfId="2" applyFont="1"/>
    <x:xf numFmtId="0" fontId="12" fillId="0" borderId="0" xfId="2" applyFont="1" applyAlignment="1">
      <x:alignment horizontal="left"/>
    </x:xf>
    <x:xf numFmtId="0" fontId="12" fillId="0" borderId="0" xfId="2" applyFont="1" applyAlignment="1">
      <x:alignment horizontal="left"/>
    </x:xf>
    <x:xf numFmtId="0" fontId="0" fillId="0" borderId="3" xfId="0" applyNumberFormat="1" applyFont="1" applyFill="1" applyBorder="1"/>
    <x:xf numFmtId="0" fontId="1" fillId="0" borderId="4" xfId="0" applyNumberFormat="1" applyFont="1" applyFill="1" applyBorder="1"/>
    <x:xf numFmtId="0" fontId="2" fillId="0" borderId="4" xfId="0" applyNumberFormat="1" applyFont="1" applyFill="1" applyBorder="1"/>
    <x:xf numFmtId="0" fontId="3" fillId="0" borderId="4" xfId="0" applyNumberFormat="1" applyFont="1" applyFill="1" applyBorder="1"/>
    <x:xf numFmtId="0" fontId="0" fillId="0" borderId="3" xfId="0" applyNumberFormat="1" applyFont="1" applyFill="1" applyBorder="1" applyAlignment="1">
      <x:alignment horizontal="left"/>
    </x:xf>
    <x:xf numFmtId="0" fontId="2" fillId="0" borderId="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3" fillId="0" borderId="4" xfId="0" applyNumberFormat="1" applyFont="1" applyFill="1" applyBorder="1" applyAlignment="1">
      <x:alignment vertical="top"/>
    </x:xf>
    <x:xf numFmtId="0" fontId="5" fillId="2" borderId="5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/>
    <x:xf numFmtId="0" fontId="6" fillId="0" borderId="3" xfId="0" applyNumberFormat="1" applyFont="1" applyFill="1" applyBorder="1" applyAlignment="1">
      <x:alignment horizontal="left"/>
    </x:xf>
    <x:xf numFmtId="0" fontId="2" fillId="0" borderId="5" xfId="0" applyNumberFormat="1" applyFont="1" applyFill="1" applyBorder="1"/>
    <x:xf numFmtId="0" fontId="7" fillId="0" borderId="3" xfId="0" applyNumberFormat="1" applyFont="1" applyFill="1" applyBorder="1" applyAlignment="1">
      <x:alignment horizontal="center"/>
    </x:xf>
    <x:xf numFmtId="0" fontId="7" fillId="0" borderId="3" xfId="0" applyNumberFormat="1" applyFont="1" applyFill="1" applyBorder="1"/>
    <x:xf numFmtId="0" fontId="8" fillId="0" borderId="3" xfId="0" applyNumberFormat="1" applyFont="1" applyFill="1" applyBorder="1" applyAlignment="1">
      <x:alignment horizontal="left" vertical="center"/>
    </x:xf>
    <x:xf numFmtId="0" fontId="9" fillId="0" borderId="3" xfId="0" applyNumberFormat="1" applyFont="1" applyFill="1" applyBorder="1" applyAlignment="1">
      <x:alignment horizontal="center"/>
    </x:xf>
    <x:xf numFmtId="0" fontId="10" fillId="3" borderId="5" xfId="0" applyNumberFormat="1" applyFont="1" applyFill="1" applyBorder="1" applyAlignment="1">
      <x:alignment horizontal="left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2" fillId="4" borderId="3" xfId="0" applyNumberFormat="1" applyFont="1" applyFill="1" applyBorder="1"/>
    <x:xf numFmtId="0" fontId="13" fillId="0" borderId="3" xfId="0" applyNumberFormat="1" applyFont="1" applyFill="1" applyBorder="1"/>
    <x:xf numFmtId="0" fontId="12" fillId="0" borderId="3" xfId="0" applyNumberFormat="1" applyFont="1" applyFill="1" applyBorder="1" applyAlignment="1">
      <x:alignment horizontal="right"/>
    </x:xf>
    <x:xf numFmtId="0" fontId="12" fillId="0" borderId="3" xfId="0" applyNumberFormat="1" applyFont="1" applyFill="1" applyBorder="1" applyAlignment="1">
      <x:alignment horizontal="center"/>
    </x:xf>
    <x:xf numFmtId="0" fontId="12" fillId="0" borderId="3" xfId="0" applyNumberFormat="1" applyFont="1" applyFill="1" applyBorder="1"/>
    <x:xf numFmtId="0" fontId="12" fillId="0" borderId="3" xfId="0" applyNumberFormat="1" applyFont="1" applyFill="1" applyBorder="1" applyAlignment="1">
      <x:alignment horizontal="left"/>
    </x:xf>
    <x:xf numFmtId="0" fontId="3" fillId="0" borderId="2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</x:cellXfs>
  <x:cellStyles count="3">
    <x:cellStyle name="Normal" xfId="0"/>
    <x:cellStyle name="Normal 2" xfId="1"/>
    <x:cellStyle name="Normal 3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7696b1d724ed3" /><Relationship Type="http://schemas.openxmlformats.org/officeDocument/2006/relationships/theme" Target="/xl/theme/theme1.xml" Id="R7f81b8a220f64cd8" /><Relationship Type="http://schemas.openxmlformats.org/officeDocument/2006/relationships/sharedStrings" Target="/xl/sharedStrings.xml" Id="R32cdc6f0294f4e4f" /><Relationship Type="http://schemas.openxmlformats.org/officeDocument/2006/relationships/worksheet" Target="/xl/worksheets/sheet1.xml" Id="R4fd86fe967be4422" /><Relationship Type="http://schemas.openxmlformats.org/officeDocument/2006/relationships/worksheet" Target="/xl/worksheets/sheet2.xml" Id="R9796b3922fa64336" /><Relationship Type="http://schemas.openxmlformats.org/officeDocument/2006/relationships/worksheet" Target="/xl/worksheets/sheet3.xml" Id="R015bf51afade4314" /><Relationship Type="http://schemas.openxmlformats.org/officeDocument/2006/relationships/worksheet" Target="/xl/worksheets/sheet4.xml" Id="Ra7923fc7318b48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951005a06304441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150093</xdr:colOff>
      <xdr:row>0</xdr:row>
      <xdr:rowOff>0</xdr:rowOff>
    </xdr:from>
    <xdr:to>
      <xdr:col>4</xdr:col>
      <xdr:colOff>3241708</xdr:colOff>
      <xdr:row>4</xdr:row>
      <xdr:rowOff>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1005a063044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d6ba77e1124f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baseColWidth="10" defaultRowHeight="14"/>
  <x:cols>
    <x:col min="1" max="1" width="4.83203125" style="14" customWidth="1"/>
    <x:col min="2" max="2" width="34" style="15" hidden="0" customWidth="1"/>
    <x:col min="3" max="3" width="20" style="15" hidden="0" customWidth="1"/>
    <x:col min="4" max="4" width="13" style="15" hidden="0" customWidth="1"/>
    <x:col min="5" max="5" width="82" style="15" hidden="0" customWidth="1"/>
    <x:col min="6" max="6" width="18" style="15" hidden="0" customWidth="1"/>
    <x:col min="7" max="228" width="8.83203125" style="15" customWidth="1"/>
    <x:col min="229" max="16384" width="10.83203125" style="15" customWidth="0"/>
    <x:col min="7" max="7" width="18" hidden="0" customWidth="1"/>
  </x:cols>
  <x:sheetData>
    <x:row r="1">
      <x:c r="C1" s="14"/>
    </x:row>
    <x:row r="2">
      <x:c r="C2" s="14"/>
    </x:row>
    <x:row r="3">
      <x:c r="C3" s="14"/>
    </x:row>
    <x:row r="4">
      <x:c r="C4" s="14"/>
    </x:row>
    <x:row r="5" ht="19">
      <x:c r="D5" s="16" t="s">
        <x:v>0</x:v>
      </x:c>
    </x:row>
    <x:row r="6" ht="18">
      <x:c r="A6" s="17"/>
      <x:c r="C6" s="14"/>
    </x:row>
    <x:row r="7" ht="16">
      <x:c r="A7" s="18" t="s">
        <x:v>1</x:v>
      </x:c>
      <x:c r="B7" s="18" t="s">
        <x:v>2</x:v>
      </x:c>
      <x:c r="C7" s="18" t="s">
        <x:v>3</x:v>
      </x:c>
      <x:c r="D7" s="18" t="s">
        <x:v>4</x:v>
      </x:c>
      <x:c r="E7" s="18" t="s">
        <x:v>5</x:v>
      </x:c>
      <x:c r="F7" s="18" t="s">
        <x:v>6</x:v>
      </x:c>
      <x:c r="G7" s="18" t="s">
        <x:v>7</x:v>
      </x:c>
    </x:row>
    <x:row r="8" ht="44" customHeight="1">
      <x:c r="A8" s="19" t="n">
        <x:f>ROW()-8</x:f>
        <x:v>0</x:v>
      </x:c>
      <x:c r="B8" s="57" t="str">
        <x:v>Student/Teacher Login</x:v>
      </x:c>
      <x:c r="C8" s="57" t="str">
        <x:v>Identity</x:v>
      </x:c>
      <x:c r="D8" s="57" t="str">
        <x:v>Simple</x:v>
      </x:c>
      <x:c r="E8" s="57" t="str">
        <x:v>Supabase JWT authentication; role-based navigation; auth guard.</x:v>
      </x:c>
      <x:c r="F8" s="58" t="str">
        <x:v>Iteration 1</x:v>
      </x:c>
      <x:c r="G8" s="58" t="str">
        <x:v>Pending</x:v>
      </x:c>
    </x:row>
    <x:row r="9" ht="44" customHeight="1">
      <x:c r="A9" s="19" t="n">
        <x:f t="shared" ref="A9:A22" si="0">ROW()-8</x:f>
        <x:v>1</x:v>
      </x:c>
      <x:c r="B9" s="57" t="str">
        <x:v>School-scoped Authorization</x:v>
      </x:c>
      <x:c r="C9" s="57" t="str">
        <x:v>Identity</x:v>
      </x:c>
      <x:c r="D9" s="57" t="str">
        <x:v>Complex</x:v>
      </x:c>
      <x:c r="E9" s="57" t="str">
        <x:v>Organization membership and scope checks; deny cross-school requests.</x:v>
      </x:c>
      <x:c r="F9" s="58" t="str">
        <x:v>Iteration 1</x:v>
      </x:c>
      <x:c r="G9" s="58" t="str">
        <x:v>Pending</x:v>
      </x:c>
    </x:row>
    <x:row r="10" ht="44" customHeight="1">
      <x:c r="A10" s="19">
        <x:f t="shared" si="0"/>
        <x:v>2</x:v>
      </x:c>
      <x:c r="B10" s="57" t="str">
        <x:v>School Admin: Classroom Management</x:v>
      </x:c>
      <x:c r="C10" s="57" t="str">
        <x:v>School Admin</x:v>
      </x:c>
      <x:c r="D10" s="57" t="str">
        <x:v>Medium</x:v>
      </x:c>
      <x:c r="E10" s="57" t="str">
        <x:v>List and manage organization classrooms with authorized memberships.</x:v>
      </x:c>
      <x:c r="F10" s="58" t="str">
        <x:v>Iteration 1</x:v>
      </x:c>
      <x:c r="G10" s="58" t="str">
        <x:v>Pending</x:v>
      </x:c>
    </x:row>
    <x:row r="11" ht="44" customHeight="1">
      <x:c r="A11" s="19">
        <x:f t="shared" si="0"/>
        <x:v>3</x:v>
      </x:c>
      <x:c r="B11" s="57" t="str">
        <x:v>Robot Entitlement Management</x:v>
      </x:c>
      <x:c r="C11" s="57" t="str">
        <x:v>Robot Resource</x:v>
      </x:c>
      <x:c r="D11" s="57" t="str">
        <x:v>Complex</x:v>
      </x:c>
      <x:c r="E11" s="57" t="str">
        <x:v>Verify organization entitlement for available robots.</x:v>
      </x:c>
      <x:c r="F11" s="58" t="str">
        <x:v>Iteration 1</x:v>
      </x:c>
      <x:c r="G11" s="58" t="str">
        <x:v>Pending</x:v>
      </x:c>
    </x:row>
    <x:row r="12" ht="44" customHeight="1">
      <x:c r="A12" s="19">
        <x:f t="shared" si="0"/>
        <x:v>4</x:v>
      </x:c>
      <x:c r="B12" s="57" t="str">
        <x:v>Classroom Robot Allocation (WF-01)</x:v>
      </x:c>
      <x:c r="C12" s="57" t="str">
        <x:v>Robot Resource</x:v>
      </x:c>
      <x:c r="D12" s="57" t="str">
        <x:v>Complex</x:v>
      </x:c>
      <x:c r="E12" s="57" t="str">
        <x:v>One allocation per classroom; replacing robot is atomic; no motion/reservation.</x:v>
      </x:c>
      <x:c r="F12" s="58" t="str">
        <x:v>Iteration 1</x:v>
      </x:c>
      <x:c r="G12" s="58" t="str">
        <x:v>Pending</x:v>
      </x:c>
    </x:row>
    <x:row r="13" ht="44" customHeight="1">
      <x:c r="A13" s="19">
        <x:f t="shared" si="0"/>
        <x:v>5</x:v>
      </x:c>
      <x:c r="B13" s="57" t="str">
        <x:v>Course and Lesson Management</x:v>
      </x:c>
      <x:c r="C13" s="57" t="str">
        <x:v>Curriculum</x:v>
      </x:c>
      <x:c r="D13" s="57" t="str">
        <x:v>Medium</x:v>
      </x:c>
      <x:c r="E13" s="57" t="str">
        <x:v>Instructor manages learning courses and lessons within allowed scope.</x:v>
      </x:c>
      <x:c r="F13" s="58" t="str">
        <x:v>Iteration 1</x:v>
      </x:c>
      <x:c r="G13" s="58" t="str">
        <x:v>Pending</x:v>
      </x:c>
    </x:row>
    <x:row r="14" ht="44" customHeight="1">
      <x:c r="A14" s="19">
        <x:f t="shared" si="0"/>
        <x:v>6</x:v>
      </x:c>
      <x:c r="B14" s="57" t="str">
        <x:v>Course Offering / Classroom Delivery</x:v>
      </x:c>
      <x:c r="C14" s="57" t="str">
        <x:v>Learning</x:v>
      </x:c>
      <x:c r="D14" s="57" t="str">
        <x:v>Complex</x:v>
      </x:c>
      <x:c r="E14" s="57" t="str">
        <x:v>Link course delivery to class and teacher/student membership.</x:v>
      </x:c>
      <x:c r="F14" s="58" t="str">
        <x:v>Iteration 1</x:v>
      </x:c>
      <x:c r="G14" s="58" t="str">
        <x:v>Pending</x:v>
      </x:c>
    </x:row>
    <x:row r="15" ht="44" customHeight="1">
      <x:c r="A15" s="19">
        <x:f t="shared" si="0"/>
        <x:v>7</x:v>
      </x:c>
      <x:c r="B15" s="57" t="str">
        <x:v>Assignment Publishing (WF-02)</x:v>
      </x:c>
      <x:c r="C15" s="57" t="str">
        <x:v>Learning</x:v>
      </x:c>
      <x:c r="D15" s="57" t="str">
        <x:v>Complex</x:v>
      </x:c>
      <x:c r="E15" s="57" t="str">
        <x:v>Teacher publishes classroom assignment; visibility restricted to class.</x:v>
      </x:c>
      <x:c r="F15" s="58" t="str">
        <x:v>Iteration 1</x:v>
      </x:c>
      <x:c r="G15" s="58" t="str">
        <x:v>Pending</x:v>
      </x:c>
    </x:row>
    <x:row r="16" ht="44" customHeight="1">
      <x:c r="A16" s="19">
        <x:f t="shared" si="0"/>
        <x:v>8</x:v>
      </x:c>
      <x:c r="B16" s="57" t="str">
        <x:v>Blockly Program / Program Version</x:v>
      </x:c>
      <x:c r="C16" s="57" t="str">
        <x:v>Programming</x:v>
      </x:c>
      <x:c r="D16" s="57" t="str">
        <x:v>Complex</x:v>
      </x:c>
      <x:c r="E16" s="57" t="str">
        <x:v>Student builds learning program with immutable program versions.</x:v>
      </x:c>
      <x:c r="F16" s="58" t="str">
        <x:v>Iteration 2</x:v>
      </x:c>
      <x:c r="G16" s="58" t="str">
        <x:v>Pending</x:v>
      </x:c>
    </x:row>
    <x:row r="17" ht="44" customHeight="1">
      <x:c r="A17" s="19">
        <x:f t="shared" si="0"/>
        <x:v>9</x:v>
      </x:c>
      <x:c r="B17" s="57" t="str">
        <x:v>Submission and Attempts (WF-02)</x:v>
      </x:c>
      <x:c r="C17" s="57" t="str">
        <x:v>Assessment</x:v>
      </x:c>
      <x:c r="D17" s="57" t="str">
        <x:v>Complex</x:v>
      </x:c>
      <x:c r="E17" s="57" t="str">
        <x:v>Student submits within assigned class; store submission and attempts.</x:v>
      </x:c>
      <x:c r="F17" s="58" t="str">
        <x:v>Iteration 1</x:v>
      </x:c>
      <x:c r="G17" s="58" t="str">
        <x:v>Pending</x:v>
      </x:c>
    </x:row>
    <x:row r="18" ht="44" customHeight="1">
      <x:c r="A18" s="19">
        <x:f t="shared" si="0"/>
        <x:v>10</x:v>
      </x:c>
      <x:c r="B18" s="57" t="str">
        <x:v>Schematic Experiment Preview (WF-03)</x:v>
      </x:c>
      <x:c r="C18" s="57" t="str">
        <x:v>Experiment</x:v>
      </x:c>
      <x:c r="D18" s="57" t="str">
        <x:v>Complex</x:v>
      </x:c>
      <x:c r="E18" s="57" t="str">
        <x:v>Create pending schematic preview; no physical execution via Education API.</x:v>
      </x:c>
      <x:c r="F18" s="58" t="str">
        <x:v>Iteration 2</x:v>
      </x:c>
      <x:c r="G18" s="58" t="str">
        <x:v>Pending</x:v>
      </x:c>
    </x:row>
    <x:row r="19" ht="44" customHeight="1">
      <x:c r="A19" s="19">
        <x:f t="shared" si="0"/>
        <x:v>11</x:v>
      </x:c>
      <x:c r="B19" s="57" t="str">
        <x:v>Experiment Evidence and Events</x:v>
      </x:c>
      <x:c r="C19" s="57" t="str">
        <x:v>Experiment</x:v>
      </x:c>
      <x:c r="D19" s="57" t="str">
        <x:v>Medium</x:v>
      </x:c>
      <x:c r="E19" s="57" t="str">
        <x:v>Read own experiment result, events and artifacts; verify scope.</x:v>
      </x:c>
      <x:c r="F19" s="58" t="str">
        <x:v>Iteration 2</x:v>
      </x:c>
      <x:c r="G19" s="58" t="str">
        <x:v>Pending</x:v>
      </x:c>
    </x:row>
    <x:row r="20" ht="44" customHeight="1">
      <x:c r="A20" s="19">
        <x:f t="shared" si="0"/>
        <x:v>12</x:v>
      </x:c>
      <x:c r="B20" s="57" t="str">
        <x:v>Teacher Assessment (WF-04)</x:v>
      </x:c>
      <x:c r="C20" s="57" t="str">
        <x:v>Assessment</x:v>
      </x:c>
      <x:c r="D20" s="57" t="str">
        <x:v>Complex</x:v>
      </x:c>
      <x:c r="E20" s="57" t="str">
        <x:v>Teacher reviews submitted work, stores assessment and feedback.</x:v>
      </x:c>
      <x:c r="F20" s="58" t="str">
        <x:v>Iteration 2</x:v>
      </x:c>
      <x:c r="G20" s="58" t="str">
        <x:v>Pending</x:v>
      </x:c>
    </x:row>
    <x:row r="21" ht="44" customHeight="1">
      <x:c r="A21" s="19">
        <x:f t="shared" si="0"/>
        <x:v>13</x:v>
      </x:c>
      <x:c r="B21" s="57" t="str">
        <x:v>Student Reflection and Feedback</x:v>
      </x:c>
      <x:c r="C21" s="57" t="str">
        <x:v>Assessment</x:v>
      </x:c>
      <x:c r="D21" s="57" t="str">
        <x:v>Medium</x:v>
      </x:c>
      <x:c r="E21" s="57" t="str">
        <x:v>Student accesses feedback and records permitted reflection.</x:v>
      </x:c>
      <x:c r="F21" s="58" t="str">
        <x:v>Iteration 2</x:v>
      </x:c>
      <x:c r="G21" s="58" t="str">
        <x:v>Pending</x:v>
      </x:c>
    </x:row>
    <x:row r="22" ht="44" customHeight="1">
      <x:c r="A22" s="19">
        <x:f t="shared" si="0"/>
        <x:v>14</x:v>
      </x:c>
      <x:c r="B22" s="57" t="str">
        <x:v>CI &amp; Documentation Traceability</x:v>
      </x:c>
      <x:c r="C22" s="57" t="str">
        <x:v>Quality</x:v>
      </x:c>
      <x:c r="D22" s="57" t="str">
        <x:v>Complex</x:v>
      </x:c>
      <x:c r="E22" s="57" t="str">
        <x:v>Tests, build, schema checks; repo diagrams and review-2 documentation.</x:v>
      </x:c>
      <x:c r="F22" s="58" t="str">
        <x:v>Iteration 1</x:v>
      </x:c>
      <x:c r="G22" s="58" t="str">
        <x:v>Pending</x:v>
      </x:c>
    </x:row>
    <x:row r="23">
      <x:c r="A23" s="23" t="s">
        <x:v>8</x:v>
      </x:c>
      <x:c r="B23" s="24"/>
      <x:c r="D23" s="24"/>
    </x:row>
    <x:row r="24">
      <x:c r="B24" s="25" t="s">
        <x:v>9</x:v>
      </x:c>
      <x:c r="C24" s="26" t="s">
        <x:v>10</x:v>
      </x:c>
      <x:c r="D24" s="27" t="s">
        <x:v>11</x:v>
      </x:c>
    </x:row>
    <x:row r="25">
      <x:c r="B25" s="25" t="s">
        <x:v>12</x:v>
      </x:c>
      <x:c r="C25" s="26" t="s">
        <x:v>13</x:v>
      </x:c>
      <x:c r="D25" s="27" t="s">
        <x:v>14</x:v>
      </x:c>
    </x:row>
    <x:row r="26">
      <x:c r="B26" s="25" t="s">
        <x:v>15</x:v>
      </x:c>
      <x:c r="C26" s="26" t="s">
        <x:v>16</x:v>
      </x:c>
      <x:c r="D26" s="27" t="s">
        <x:v>17</x:v>
      </x:c>
    </x:row>
    <x:row r="27">
      <x:c r="A27" s="28" t="s">
        <x:v>18</x:v>
      </x:c>
      <x:c r="B27" s="24"/>
      <x:c r="D27" s="24"/>
    </x:row>
    <x:row r="28">
      <x:c r="A28" s="29" t="s">
        <x:v>19</x:v>
      </x:c>
      <x:c r="B28" s="24"/>
      <x:c r="D28" s="24"/>
    </x:row>
    <x:row r="29">
      <x:c r="A29" s="29" t="s">
        <x:v>20</x:v>
      </x:c>
      <x:c r="B29" s="24"/>
      <x:c r="D29" s="24"/>
    </x:row>
  </x:sheetData>
  <x:dataValidations count="2">
    <x:dataValidation type="list" allowBlank="1" showInputMessage="1" showErrorMessage="1" sqref="G8:G22">
      <x:formula1>"Pending, Doing, Deferred, Cancelled, Done"</x:formula1>
    </x:dataValidation>
    <x:dataValidation type="list" allowBlank="1" showErrorMessage="1" sqref="D8:D22">
      <x:formula1>"Simple,Medium,Complex"</x:formula1>
    </x:dataValidation>
  </x:dataValidations>
  <x:pageMargins left="0.7" right="0.7" top="0.75" bottom="0.75" header="0.3" footer="0.3"/>
  <x:drawing xmlns:r="http://schemas.openxmlformats.org/officeDocument/2006/relationships" r:id="R03d6ba77e1124fab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14.5" defaultRowHeight="15.75"/>
  <x:cols>
    <x:col min="1" max="1" width="4.1640625" style="7" customWidth="1"/>
    <x:col min="2" max="2" width="42" hidden="0" customWidth="1"/>
    <x:col min="3" max="3" width="42" hidden="0" customWidth="1"/>
    <x:col min="4" max="4" width="11" customWidth="1"/>
    <x:col min="5" max="5" width="23" hidden="0" customWidth="1"/>
    <x:col min="6" max="6" width="12.1640625" customWidth="1"/>
    <x:col min="7" max="7" width="12.5" customWidth="1"/>
    <x:col min="8" max="8" width="8.83203125" customWidth="1"/>
    <x:col min="9" max="9" width="62" hidden="0" customWidth="1"/>
  </x:cols>
  <x:sheetData>
    <x:row r="1" ht="15.75" customHeight="1">
      <x:c r="A1" s="12" t="s">
        <x:v>21</x:v>
      </x:c>
    </x:row>
    <x:row r="3" s="5" customFormat="1" ht="15.75" customHeight="1">
      <x:c r="A3" s="10" t="s">
        <x:v>1</x:v>
      </x:c>
      <x:c r="B3" s="10" t="s">
        <x:v>22</x:v>
      </x:c>
      <x:c r="C3" s="10" t="s">
        <x:v>23</x:v>
      </x:c>
      <x:c r="D3" s="10" t="s">
        <x:v>24</x:v>
      </x:c>
      <x:c r="E3" s="10" t="s">
        <x:v>25</x:v>
      </x:c>
      <x:c r="F3" s="10" t="s">
        <x:v>26</x:v>
      </x:c>
      <x:c r="G3" s="10" t="s">
        <x:v>27</x:v>
      </x:c>
      <x:c r="H3" s="10" t="s">
        <x:v>7</x:v>
      </x:c>
      <x:c r="I3" s="10" t="s">
        <x:v>28</x:v>
      </x:c>
    </x:row>
    <x:row r="4" ht="50" customHeight="1">
      <x:c r="A4" s="6" t="n">
        <x:f>ROW()-3</x:f>
        <x:v>1</x:v>
      </x:c>
      <x:c r="B4" s="59" t="str">
        <x:v>WF-03 physical path not integrated</x:v>
      </x:c>
      <x:c r="C4" s="59" t="str">
        <x:v>End-to-end hardware claim unsupported</x:v>
      </x:c>
      <x:c r="D4" s="60" t="str">
        <x:v>High</x:v>
      </x:c>
      <x:c r="E4" s="61" t="str">
        <x:v>Vũ Anh Tuấn</x:v>
      </x:c>
      <x:c r="F4" s="61"/>
      <x:c r="G4" s="61"/>
      <x:c r="H4" s="60" t="str">
        <x:v>Open</x:v>
      </x:c>
      <x:c r="I4" s="61" t="str">
        <x:v>Education API supports schematic pending requests; confirm scope</x:v>
      </x:c>
    </x:row>
    <x:row r="5" ht="50" customHeight="1">
      <x:c r="A5" s="6" t="n">
        <x:f t="shared" ref="A5:A10" si="0">ROW()-3</x:f>
        <x:v>2</x:v>
      </x:c>
      <x:c r="B5" s="59" t="str">
        <x:v>State diagrams use proposed states</x:v>
      </x:c>
      <x:c r="C5" s="59" t="str">
        <x:v>BM02 may detect mismatch with implementation</x:v>
      </x:c>
      <x:c r="D5" s="60" t="str">
        <x:v>High</x:v>
      </x:c>
      <x:c r="E5" s="61" t="str">
        <x:v>Trần Tiến Đạt</x:v>
      </x:c>
      <x:c r="F5" s="61"/>
      <x:c r="G5" s="61"/>
      <x:c r="H5" s="60" t="str">
        <x:v>Open</x:v>
      </x:c>
      <x:c r="I5" s="61" t="str">
        <x:v>Rebuild from enums, controllers and DB constraints</x:v>
      </x:c>
    </x:row>
    <x:row r="6" ht="50" customHeight="1">
      <x:c r="A6" s="6">
        <x:f t="shared" si="0"/>
        <x:v>3</x:v>
      </x:c>
      <x:c r="B6" s="59" t="str">
        <x:v>ERD optionality/cardinality requires constraints</x:v>
      </x:c>
      <x:c r="C6" s="59" t="str">
        <x:v>Data review could flag invalid relations</x:v>
      </x:c>
      <x:c r="D6" s="60" t="str">
        <x:v>High</x:v>
      </x:c>
      <x:c r="E6" s="61" t="str">
        <x:v>Phạm Viết Lợi</x:v>
      </x:c>
      <x:c r="F6" s="61"/>
      <x:c r="G6" s="61"/>
      <x:c r="H6" s="60" t="str">
        <x:v>Open</x:v>
      </x:c>
      <x:c r="I6" s="61" t="str">
        <x:v>Compare uniqueness/nullability with migrations</x:v>
      </x:c>
    </x:row>
    <x:row r="7" ht="50" customHeight="1">
      <x:c r="A7" s="6">
        <x:f t="shared" si="0"/>
        <x:v>4</x:v>
      </x:c>
      <x:c r="B7" s="59" t="str">
        <x:v>SRS requirements not fully code-traced</x:v>
      </x:c>
      <x:c r="C7" s="59" t="str">
        <x:v>AI Self Review scope/design mismatch</x:v>
      </x:c>
      <x:c r="D7" s="60" t="str">
        <x:v>High</x:v>
      </x:c>
      <x:c r="E7" s="61" t="str">
        <x:v>Lê Nguyễn Quang Đức</x:v>
      </x:c>
      <x:c r="F7" s="61"/>
      <x:c r="G7" s="61"/>
      <x:c r="H7" s="60" t="str">
        <x:v>Open</x:v>
      </x:c>
      <x:c r="I7" s="61" t="str">
        <x:v>Build FR → route → DB → tests matrix</x:v>
      </x:c>
    </x:row>
    <x:row r="8" ht="50" customHeight="1">
      <x:c r="A8" s="6">
        <x:f t="shared" si="0"/>
        <x:v>5</x:v>
      </x:c>
      <x:c r="B8" s="59" t="str">
        <x:v>Review-2 tag &amp; BM02 not yet finalized</x:v>
      </x:c>
      <x:c r="C8" s="59" t="str">
        <x:v>Official submission incomplete</x:v>
      </x:c>
      <x:c r="D8" s="60" t="str">
        <x:v>High</x:v>
      </x:c>
      <x:c r="E8" s="61" t="str">
        <x:v>Lê Nguyễn Quang Đức</x:v>
      </x:c>
      <x:c r="F8" s="61"/>
      <x:c r="G8" s="61"/>
      <x:c r="H8" s="60" t="str">
        <x:v>Open</x:v>
      </x:c>
      <x:c r="I8" s="61" t="str">
        <x:v>Tag only after docs, test and CI verified</x:v>
      </x:c>
    </x:row>
    <x:row r="9" ht="50" customHeight="1">
      <x:c r="A9" s="6">
        <x:f t="shared" si="0"/>
        <x:v>6</x:v>
      </x:c>
      <x:c r="B9" s="59" t="str">
        <x:v>Robot runtime safety evidence incomplete</x:v>
      </x:c>
      <x:c r="C9" s="59" t="str">
        <x:v>Defense demo risk</x:v>
      </x:c>
      <x:c r="D9" s="60" t="str">
        <x:v>Medium</x:v>
      </x:c>
      <x:c r="E9" s="61" t="str">
        <x:v>Vũ Anh Tuấn</x:v>
      </x:c>
      <x:c r="F9" s="61"/>
      <x:c r="G9" s="61"/>
      <x:c r="H9" s="60" t="str">
        <x:v>Open</x:v>
      </x:c>
      <x:c r="I9" s="61" t="str">
        <x:v>Keep safety claims qualified; test without hardware</x:v>
      </x:c>
    </x:row>
    <x:row r="10" ht="50" customHeight="1">
      <x:c r="A10" s="6">
        <x:f t="shared" si="0"/>
        <x:v>7</x:v>
      </x:c>
      <x:c r="B10" s="59" t="str">
        <x:v>CI workflow outcomes unverified</x:v>
      </x:c>
      <x:c r="C10" s="59" t="str">
        <x:v>No confirmed green runs</x:v>
      </x:c>
      <x:c r="D10" s="60" t="str">
        <x:v>Medium</x:v>
      </x:c>
      <x:c r="E10" s="61" t="str">
        <x:v>Lê Nguyễn Quang Đức</x:v>
      </x:c>
      <x:c r="F10" s="61"/>
      <x:c r="G10" s="61"/>
      <x:c r="H10" s="60" t="str">
        <x:v>Open</x:v>
      </x:c>
      <x:c r="I10" s="61" t="str">
        <x:v>CI steps exist; check Actions result and remaining workflows</x:v>
      </x:c>
    </x:row>
  </x:sheetData>
  <x:dataValidations count="2">
    <x:dataValidation type="list" allowBlank="1" showInputMessage="1" showErrorMessage="1" sqref="D4:D10">
      <x:formula1>"Low, Medium, High"</x:formula1>
    </x:dataValidation>
    <x:dataValidation type="list" allowBlank="1" showInputMessage="1" showErrorMessage="1" sqref="H4:H10">
      <x:formula1>"Open, Closed, Cancelled"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14.5" defaultRowHeight="15.75"/>
  <x:cols>
    <x:col min="2" max="2" width="17.5" customWidth="1"/>
    <x:col min="4" max="4" width="62" hidden="0" customWidth="1"/>
    <x:col min="7" max="7" width="48.33203125" customWidth="1"/>
  </x:cols>
  <x:sheetData>
    <x:row r="1" ht="15.75" customHeight="1">
      <x:c r="A1" s="11" t="s">
        <x:v>29</x:v>
      </x:c>
    </x:row>
    <x:row r="3" ht="13">
      <x:c r="A3" s="10" t="s">
        <x:v>3</x:v>
      </x:c>
      <x:c r="B3" s="10" t="s">
        <x:v>2</x:v>
      </x:c>
      <x:c r="C3" s="10" t="s">
        <x:v>30</x:v>
      </x:c>
      <x:c r="D3" s="10" t="s">
        <x:v>31</x:v>
      </x:c>
      <x:c r="E3" s="10" t="s">
        <x:v>32</x:v>
      </x:c>
      <x:c r="F3" s="10" t="s">
        <x:v>7</x:v>
      </x:c>
      <x:c r="G3" s="10" t="s">
        <x:v>28</x:v>
      </x:c>
    </x:row>
    <x:row r="4" ht="13">
      <x:c r="A4" s="4" t="str">
        <x:v>Verification</x:v>
      </x:c>
      <x:c r="B4" s="65" t="str">
        <x:v>Test execution</x:v>
      </x:c>
      <x:c r="C4" s="65" t="str">
        <x:v>QA pending</x:v>
      </x:c>
      <x:c r="D4" s="65" t="str">
        <x:v>No confirmed defect list; do not fabricate results</x:v>
      </x:c>
      <x:c r="E4" s="65" t="str">
        <x:v>Assigned after CI</x:v>
      </x:c>
      <x:c r="F4" s="65" t="str">
        <x:v>Pending</x:v>
      </x:c>
      <x:c r="G4" s="65" t="str">
        <x:v>Record only reproduced defects with logs</x:v>
      </x:c>
    </x:row>
    <x:row r="5" ht="13">
      <x:c r="A5" s="4"/>
      <x:c r="B5" s="65"/>
      <x:c r="C5" s="65"/>
      <x:c r="D5" s="65"/>
      <x:c r="E5" s="65"/>
      <x:c r="F5" s="65"/>
      <x:c r="G5" s="65"/>
    </x:row>
    <x:row r="6" ht="13">
      <x:c r="A6" s="4"/>
      <x:c r="B6" s="65"/>
      <x:c r="C6" s="65"/>
      <x:c r="D6" s="65"/>
      <x:c r="E6" s="65"/>
      <x:c r="F6" s="65"/>
      <x:c r="G6" s="65"/>
    </x:row>
    <x:row r="7" ht="13">
      <x:c r="A7" s="4"/>
      <x:c r="B7" s="65"/>
      <x:c r="C7" s="65"/>
      <x:c r="D7" s="65"/>
      <x:c r="E7" s="65"/>
      <x:c r="F7" s="65"/>
      <x:c r="G7" s="65"/>
    </x:row>
    <x:row r="8" ht="13">
      <x:c r="A8" s="4"/>
      <x:c r="B8" s="65"/>
      <x:c r="C8" s="65"/>
      <x:c r="D8" s="65"/>
      <x:c r="E8" s="65"/>
      <x:c r="F8" s="65"/>
      <x:c r="G8" s="65"/>
    </x:row>
    <x:row r="9" ht="13">
      <x:c r="A9" s="4"/>
      <x:c r="B9" s="65"/>
      <x:c r="C9" s="65"/>
      <x:c r="D9" s="65"/>
      <x:c r="E9" s="65"/>
      <x:c r="F9" s="65"/>
      <x:c r="G9" s="65"/>
    </x:row>
    <x:row r="10" ht="13">
      <x:c r="A10" s="4"/>
      <x:c r="B10" s="65"/>
      <x:c r="C10" s="65"/>
      <x:c r="D10" s="65"/>
      <x:c r="E10" s="65"/>
      <x:c r="F10" s="65"/>
      <x:c r="G10" s="65"/>
    </x:row>
    <x:row r="11" ht="13">
      <x:c r="A11" s="4"/>
      <x:c r="B11" s="65"/>
      <x:c r="C11" s="65"/>
      <x:c r="D11" s="65"/>
      <x:c r="E11" s="65"/>
      <x:c r="F11" s="65"/>
      <x:c r="G11" s="65"/>
    </x:row>
    <x:row r="12" ht="13">
      <x:c r="A12" s="4"/>
      <x:c r="B12" s="65"/>
      <x:c r="C12" s="65"/>
      <x:c r="D12" s="65"/>
      <x:c r="E12" s="65"/>
      <x:c r="F12" s="65"/>
      <x:c r="G12" s="65"/>
    </x:row>
    <x:row r="13" ht="13">
      <x:c r="A13" s="4"/>
      <x:c r="B13" s="65"/>
      <x:c r="C13" s="65"/>
      <x:c r="D13" s="65"/>
      <x:c r="E13" s="65"/>
      <x:c r="F13" s="65"/>
      <x:c r="G13" s="65"/>
    </x:row>
    <x:row r="14" ht="13">
      <x:c r="A14" s="4"/>
      <x:c r="B14" s="65"/>
      <x:c r="C14" s="65"/>
      <x:c r="D14" s="65"/>
      <x:c r="E14" s="65"/>
      <x:c r="F14" s="65"/>
      <x:c r="G14" s="65"/>
    </x:row>
    <x:row r="15" ht="13">
      <x:c r="A15" s="4"/>
      <x:c r="B15" s="65"/>
      <x:c r="C15" s="65"/>
      <x:c r="D15" s="65"/>
      <x:c r="E15" s="65"/>
      <x:c r="F15" s="65"/>
      <x:c r="G15" s="65"/>
    </x:row>
  </x:sheetData>
  <x:dataValidations count="1">
    <x:dataValidation type="list" allowBlank="1" showInputMessage="1" showErrorMessage="1" sqref="F4:F15">
      <x:formula1>"Pending, Assigned, Fixed, Closed, Cancelled"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83203125" defaultRowHeight="13"/>
  <x:cols>
    <x:col min="2" max="2" width="58" hidden="0" customWidth="1"/>
    <x:col min="6" max="6" width="86" hidden="0" customWidth="1"/>
  </x:cols>
  <x:sheetData>
    <x:row r="1" ht="16">
      <x:c r="A1" s="11" t="s">
        <x:v>33</x:v>
      </x:c>
    </x:row>
    <x:row r="3">
      <x:c r="A3" s="10" t="s">
        <x:v>34</x:v>
      </x:c>
      <x:c r="B3" s="10" t="s">
        <x:v>35</x:v>
      </x:c>
      <x:c r="C3" s="10" t="s">
        <x:v>36</x:v>
      </x:c>
      <x:c r="D3" s="10" t="s">
        <x:v>24</x:v>
      </x:c>
      <x:c r="E3" s="10" t="s">
        <x:v>7</x:v>
      </x:c>
      <x:c r="F3" s="10" t="s">
        <x:v>37</x:v>
      </x:c>
    </x:row>
    <x:row r="4" ht="48" customHeight="1">
      <x:c r="A4" s="8"/>
      <x:c r="B4" s="67" t="str">
        <x:v>Which ID is the official project code?</x:v>
      </x:c>
      <x:c r="C4" s="67" t="str">
        <x:v>Leader</x:v>
      </x:c>
      <x:c r="D4" s="68" t="str">
        <x:v>High</x:v>
      </x:c>
      <x:c r="E4" s="68" t="str">
        <x:v>Open</x:v>
      </x:c>
      <x:c r="F4" s="67" t="str">
        <x:v>Latest confirmed: FA26SE183; group GFA26SE94. Prefix per school guide SWP490; check subject admin if SEP490 required.</x:v>
      </x:c>
    </x:row>
    <x:row r="5" ht="48" customHeight="1">
      <x:c r="A5" s="8"/>
      <x:c r="B5" s="67" t="str">
        <x:v>Does WF-03 include physical robot motion?</x:v>
      </x:c>
      <x:c r="C5" s="67" t="str">
        <x:v>Team</x:v>
      </x:c>
      <x:c r="D5" s="68" t="str">
        <x:v>High</x:v>
      </x:c>
      <x:c r="E5" s="68" t="str">
        <x:v>Open</x:v>
      </x:c>
      <x:c r="F5" s="67" t="str">
        <x:v>No end-to-end physical invocation proven through Education API; schematic request only.</x:v>
      </x:c>
    </x:row>
    <x:row r="6" ht="48" customHeight="1">
      <x:c r="A6" s="8"/>
      <x:c r="B6" s="67" t="str">
        <x:v>Which diagrams must be in repository?</x:v>
      </x:c>
      <x:c r="C6" s="67" t="str">
        <x:v>Team</x:v>
      </x:c>
      <x:c r="D6" s="68" t="str">
        <x:v>High</x:v>
      </x:c>
      <x:c r="E6" s="68" t="str">
        <x:v>Open</x:v>
      </x:c>
      <x:c r="F6" s="67" t="str">
        <x:v>System Overview, Logical ERD, State Machines, 4 Activity workflows as Mermaid or PlantUML.</x:v>
      </x:c>
    </x:row>
    <x:row r="7" ht="48" customHeight="1">
      <x:c r="A7" s="8"/>
      <x:c r="B7" s="67" t="str">
        <x:v>Are all required workflow states implemented?</x:v>
      </x:c>
      <x:c r="C7" s="67" t="str">
        <x:v>Team</x:v>
      </x:c>
      <x:c r="D7" s="68" t="str">
        <x:v>High</x:v>
      </x:c>
      <x:c r="E7" s="68" t="str">
        <x:v>Open</x:v>
      </x:c>
      <x:c r="F7" s="67" t="str">
        <x:v>Verify from code, do not use aesthetic placeholder states.</x:v>
      </x:c>
    </x:row>
    <x:row r="8" ht="48" customHeight="1">
      <x:c r="A8" s="8"/>
      <x:c r="B8" s="67" t="str">
        <x:v>When is BM02 generated?</x:v>
      </x:c>
      <x:c r="C8" s="67" t="str">
        <x:v>Leader</x:v>
      </x:c>
      <x:c r="D8" s="68" t="str">
        <x:v>High</x:v>
      </x:c>
      <x:c r="E8" s="68" t="str">
        <x:v>Open</x:v>
      </x:c>
      <x:c r="F8" s="67" t="str">
        <x:v>After review-2 Git tag. Keep raw AI findings unchanged.</x:v>
      </x:c>
    </x:row>
    <x:row r="9" ht="48" customHeight="1">
      <x:c r="A9" s="8"/>
      <x:c r="B9" s="67" t="str">
        <x:v>When is BM04 submitted?</x:v>
      </x:c>
      <x:c r="C9" s="67" t="str">
        <x:v>Leader</x:v>
      </x:c>
      <x:c r="D9" s="68" t="str">
        <x:v>Medium</x:v>
      </x:c>
      <x:c r="E9" s="68" t="str">
        <x:v>Open</x:v>
      </x:c>
      <x:c r="F9" s="67" t="str">
        <x:v>Within 3 business days after Review 2, subject to faculty confirmation.</x:v>
      </x:c>
    </x:row>
    <x:row r="10" ht="48" customHeight="1">
      <x:c r="A10" s="8"/>
      <x:c r="B10" s="67"/>
      <x:c r="C10" s="67"/>
      <x:c r="D10" s="68" t="s">
        <x:v>38</x:v>
      </x:c>
      <x:c r="E10" s="68" t="s">
        <x:v>39</x:v>
      </x:c>
      <x:c r="F10" s="67"/>
    </x:row>
    <x:row r="11" ht="48" customHeight="1">
      <x:c r="A11" s="8"/>
      <x:c r="B11" s="67"/>
      <x:c r="C11" s="67"/>
      <x:c r="D11" s="68" t="s">
        <x:v>38</x:v>
      </x:c>
      <x:c r="E11" s="68" t="s">
        <x:v>39</x:v>
      </x:c>
      <x:c r="F11" s="67"/>
    </x:row>
    <x:row r="12" ht="48" customHeight="1">
      <x:c r="A12" s="8"/>
      <x:c r="B12" s="67"/>
      <x:c r="C12" s="67"/>
      <x:c r="D12" s="68" t="s">
        <x:v>38</x:v>
      </x:c>
      <x:c r="E12" s="68" t="s">
        <x:v>39</x:v>
      </x:c>
      <x:c r="F12" s="67"/>
    </x:row>
    <x:row r="13" ht="48" customHeight="1">
      <x:c r="A13" s="8"/>
      <x:c r="B13" s="67"/>
      <x:c r="C13" s="67"/>
      <x:c r="D13" s="68" t="s">
        <x:v>38</x:v>
      </x:c>
      <x:c r="E13" s="68" t="s">
        <x:v>39</x:v>
      </x:c>
      <x:c r="F13" s="67"/>
    </x:row>
    <x:row r="14" ht="48" customHeight="1">
      <x:c r="A14" s="8"/>
      <x:c r="B14" s="67"/>
      <x:c r="C14" s="67"/>
      <x:c r="D14" s="68" t="s">
        <x:v>38</x:v>
      </x:c>
      <x:c r="E14" s="68" t="s">
        <x:v>39</x:v>
      </x:c>
      <x:c r="F14" s="67"/>
    </x:row>
    <x:row r="15" ht="48" customHeight="1">
      <x:c r="A15" s="8"/>
      <x:c r="B15" s="67"/>
      <x:c r="C15" s="67"/>
      <x:c r="D15" s="68" t="s">
        <x:v>38</x:v>
      </x:c>
      <x:c r="E15" s="68" t="s">
        <x:v>39</x:v>
      </x:c>
      <x:c r="F15" s="67"/>
    </x:row>
    <x:row r="16" ht="48" customHeight="1">
      <x:c r="A16" s="8"/>
      <x:c r="B16" s="67"/>
      <x:c r="C16" s="67"/>
      <x:c r="D16" s="68" t="s">
        <x:v>38</x:v>
      </x:c>
      <x:c r="E16" s="68" t="s">
        <x:v>39</x:v>
      </x:c>
      <x:c r="F16" s="67"/>
    </x:row>
  </x:sheetData>
  <x:dataValidations count="2">
    <x:dataValidation type="list" allowBlank="1" showInputMessage="1" showErrorMessage="1" sqref="E4:E16">
      <x:formula1>"Open, Closed, Cancelled"</x:formula1>
    </x:dataValidation>
    <x:dataValidation type="list" allowBlank="1" showInputMessage="1" showErrorMessage="1" sqref="D4:D16">
      <x:formula1>"Low, Medium, High"</x:formula1>
    </x:dataValidation>
  </x:dataValidations>
  <x:pageMargins left="0.7" right="0.7" top="0.75" bottom="0.75" header="0.3" footer="0.3"/>
</x:worksheet>
</file>