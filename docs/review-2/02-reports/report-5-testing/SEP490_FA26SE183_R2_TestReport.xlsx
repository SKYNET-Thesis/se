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ver" sheetId="1" state="visible" r:id="rId1"/>
    <sheet name="Test Cases" sheetId="2" state="visible" r:id="rId2"/>
    <sheet name="Test Statistics" sheetId="3" state="visible" r:id="rId3"/>
    <sheet name="Feature 1" sheetId="4" state="visible" r:id="rId4"/>
    <sheet name="Feature 2" sheetId="5" state="visible" r:id="rId5"/>
    <sheet name="Feature 3" sheetId="6" state="visible" r:id="rId6"/>
    <sheet name="Feature 4" sheetId="7" state="visible" r:id="rId7"/>
    <sheet name="Feature 5" sheetId="8" state="visible" r:id="rId8"/>
    <sheet name="Feature 6" sheetId="9" state="visible" r:id="rId9"/>
    <sheet name="Feature 7" sheetId="10" state="visible" r:id="rId10"/>
    <sheet name="Feature 8" sheetId="11" state="visible" r:id="rId11"/>
    <sheet name="Workflow Scenarios" sheetId="12" state="visible" r:id="rId12"/>
    <sheet name="State Transitions" sheetId="13" state="visible" r:id="rId13"/>
    <sheet name="NFR" sheetId="14" state="visible" r:id="rId14"/>
  </sheets>
  <definedNames>
    <definedName name="ACTION">#REF!</definedName>
    <definedName name="ACTION" localSheetId="0">#REF!</definedName>
    <definedName name="_xlnm._FilterDatabase" localSheetId="1" hidden="1">'Test Cases'!$B$8:$F$90</definedName>
  </definedNames>
</workbook>
</file>

<file path=xl/styles.xml><?xml version="1.0" encoding="utf-8"?>
<styleSheet xmlns="http://schemas.openxmlformats.org/spreadsheetml/2006/main">
  <numFmts count="1">
    <numFmt numFmtId="164" formatCode="d\-mmm\-yy;@"/>
  </numFmts>
  <fonts count="24">
    <font>
      <name val="ＭＳ Ｐゴシック"/>
      <sz val="11"/>
    </font>
    <font>
      <name val="ＭＳ ゴシック"/>
      <sz val="9"/>
    </font>
    <font>
      <name val="Tahoma"/>
      <sz val="10"/>
    </font>
    <font>
      <name val="Tahoma"/>
      <b val="1"/>
      <color indexed="10"/>
      <sz val="26"/>
    </font>
    <font>
      <name val="Tahoma"/>
      <b val="1"/>
      <color indexed="8"/>
      <sz val="20"/>
    </font>
    <font>
      <name val="Tahoma"/>
      <b val="1"/>
      <color indexed="60"/>
      <sz val="10"/>
    </font>
    <font>
      <name val="Tahoma"/>
      <i val="1"/>
      <color indexed="17"/>
      <sz val="10"/>
    </font>
    <font>
      <name val="Tahoma"/>
      <b val="1"/>
      <color indexed="9"/>
      <sz val="10"/>
    </font>
    <font>
      <name val="Tahoma"/>
      <b val="1"/>
      <color indexed="8"/>
      <sz val="10"/>
    </font>
    <font>
      <name val="Tahoma"/>
      <b val="1"/>
      <color indexed="10"/>
      <sz val="10"/>
    </font>
    <font>
      <name val="Tahoma"/>
      <b val="1"/>
      <sz val="10"/>
    </font>
    <font>
      <name val="Tahoma"/>
      <color indexed="12"/>
      <sz val="10"/>
    </font>
    <font>
      <name val="ＭＳ Ｐゴシック"/>
      <color indexed="12"/>
      <sz val="11"/>
    </font>
    <font>
      <name val="Tahoma"/>
      <color indexed="10"/>
      <sz val="10"/>
    </font>
    <font>
      <name val="Tahoma"/>
      <color indexed="8"/>
      <sz val="10"/>
    </font>
    <font>
      <name val="Tahoma"/>
      <color indexed="9"/>
      <sz val="10"/>
    </font>
    <font>
      <name val="Tahoma"/>
      <b val="1"/>
      <color indexed="12"/>
      <sz val="10"/>
    </font>
    <font>
      <name val="ＭＳ Ｐゴシック"/>
      <sz val="11"/>
    </font>
    <font>
      <name val="Tahoma"/>
      <b val="1"/>
      <i val="1"/>
      <sz val="10"/>
    </font>
    <font>
      <name val="Tahoma"/>
      <color rgb="FF000000"/>
      <sz val="8"/>
    </font>
    <font>
      <name val="ＭＳ Ｐゴシック"/>
      <sz val="11"/>
    </font>
    <font>
      <name val="Tahoma"/>
      <i val="1"/>
      <sz val="10"/>
    </font>
    <font>
      <name val="Tahoma"/>
      <b val="1"/>
      <color indexed="81"/>
      <sz val="8"/>
    </font>
    <font>
      <name val="Tahoma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indexed="27"/>
      </patternFill>
    </fill>
    <fill>
      <patternFill patternType="solid">
        <fgColor theme="6" tint="-0.24998"/>
      </patternFill>
    </fill>
  </fills>
  <borders count="81"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top style="thin">
        <color indexed="8"/>
      </top>
      <bottom style="hair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medium">
        <color indexed="8"/>
      </right>
    </border>
    <border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</border>
    <border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top style="hair">
        <color indexed="8"/>
      </top>
      <bottom style="hair">
        <color indexed="8"/>
      </bottom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</border>
    <border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</border>
    <border>
      <left style="thin">
        <color indexed="8"/>
      </left>
      <bottom style="thin">
        <color indexed="8"/>
      </bottom>
    </border>
    <border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/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top style="thin">
        <color indexed="8"/>
      </top>
      <bottom style="hair">
        <color indexed="8"/>
      </bottom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right style="medium">
        <color indexed="8"/>
      </right>
    </border>
    <border>
      <right style="hair">
        <color indexed="8"/>
      </right>
      <top style="thin">
        <color indexed="8"/>
      </top>
      <bottom style="hair">
        <color indexed="8"/>
      </bottom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</border>
    <border>
      <right style="hair">
        <color indexed="8"/>
      </right>
      <top style="hair">
        <color indexed="8"/>
      </top>
      <bottom style="hair">
        <color indexed="8"/>
      </bottom>
    </border>
    <border>
      <left style="hair">
        <color indexed="8"/>
      </left>
      <top style="hair">
        <color indexed="8"/>
      </top>
      <bottom style="hair">
        <color indexed="8"/>
      </bottom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</border>
    <border>
      <right style="hair">
        <color indexed="8"/>
      </right>
      <top style="hair">
        <color indexed="8"/>
      </top>
      <bottom style="thin">
        <color indexed="8"/>
      </bottom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</border>
    <border>
      <left style="thin">
        <color indexed="8"/>
      </left>
      <bottom style="thin">
        <color indexed="8"/>
      </bottom>
    </border>
    <border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top style="thin">
        <color indexed="8"/>
      </top>
    </border>
    <border>
      <right style="thin">
        <color indexed="8"/>
      </right>
      <top style="thin">
        <color indexed="8"/>
      </top>
    </border>
    <border>
      <top style="medium">
        <color indexed="64"/>
      </top>
    </border>
    <border>
      <right style="thin">
        <color indexed="64"/>
      </right>
      <top style="medium">
        <color indexed="64"/>
      </top>
    </border>
    <border>
      <top style="medium">
        <color indexed="64"/>
      </top>
      <bottom style="thin">
        <color indexed="64"/>
      </bottom>
    </border>
    <border>
      <right style="thin">
        <color indexed="64"/>
      </right>
      <top style="medium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009AA6B2"/>
      </left>
      <right style="thin">
        <color rgb="009AA6B2"/>
      </right>
      <top style="thin">
        <color rgb="009AA6B2"/>
      </top>
      <bottom style="thin">
        <color rgb="009AA6B2"/>
      </bottom>
    </border>
  </borders>
  <cellStyleXfs count="6">
    <xf numFmtId="0" fontId="20" fillId="0" borderId="35"/>
    <xf numFmtId="0" fontId="12" fillId="0" borderId="35"/>
    <xf numFmtId="0" fontId="20" fillId="0" borderId="35"/>
    <xf numFmtId="0" fontId="20" fillId="0" borderId="35"/>
    <xf numFmtId="0" fontId="1" fillId="0" borderId="35"/>
    <xf numFmtId="0" fontId="20" fillId="0" borderId="35"/>
  </cellStyleXfs>
  <cellXfs count="318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pivotButton="0" quotePrefix="0" xfId="0"/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/>
    </xf>
    <xf numFmtId="0" fontId="6" fillId="0" borderId="0" applyAlignment="1" pivotButton="0" quotePrefix="0" xfId="5">
      <alignment horizontal="left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/>
    </xf>
    <xf numFmtId="0" fontId="0" fillId="0" borderId="35" pivotButton="0" quotePrefix="0" xfId="0"/>
    <xf numFmtId="0" fontId="2" fillId="2" borderId="35" pivotButton="0" quotePrefix="0" xfId="0"/>
    <xf numFmtId="0" fontId="5" fillId="2" borderId="36" applyAlignment="1" pivotButton="0" quotePrefix="0" xfId="0">
      <alignment horizontal="left" vertical="center"/>
    </xf>
    <xf numFmtId="1" fontId="2" fillId="2" borderId="35" pivotButton="0" quotePrefix="0" xfId="0"/>
    <xf numFmtId="0" fontId="2" fillId="2" borderId="35" applyAlignment="1" pivotButton="0" quotePrefix="0" xfId="0">
      <alignment horizontal="left"/>
    </xf>
    <xf numFmtId="0" fontId="4" fillId="2" borderId="35" applyAlignment="1" pivotButton="0" quotePrefix="0" xfId="0">
      <alignment horizontal="left"/>
    </xf>
    <xf numFmtId="0" fontId="8" fillId="2" borderId="35" applyAlignment="1" pivotButton="0" quotePrefix="0" xfId="0">
      <alignment horizontal="left"/>
    </xf>
    <xf numFmtId="0" fontId="9" fillId="2" borderId="35" applyAlignment="1" pivotButton="0" quotePrefix="0" xfId="0">
      <alignment horizontal="left"/>
    </xf>
    <xf numFmtId="0" fontId="2" fillId="2" borderId="35" applyAlignment="1" pivotButton="0" quotePrefix="0" xfId="0">
      <alignment wrapText="1"/>
    </xf>
    <xf numFmtId="1" fontId="5" fillId="2" borderId="35" pivotButton="0" quotePrefix="0" xfId="0"/>
    <xf numFmtId="0" fontId="2" fillId="2" borderId="35" applyAlignment="1" pivotButton="0" quotePrefix="0" xfId="0">
      <alignment vertical="center"/>
    </xf>
    <xf numFmtId="1" fontId="2" fillId="2" borderId="35" applyAlignment="1" pivotButton="0" quotePrefix="0" xfId="0">
      <alignment vertical="center"/>
    </xf>
    <xf numFmtId="0" fontId="2" fillId="2" borderId="35" applyAlignment="1" pivotButton="0" quotePrefix="0" xfId="0">
      <alignment horizontal="left" vertical="center"/>
    </xf>
    <xf numFmtId="0" fontId="10" fillId="2" borderId="35" applyAlignment="1" pivotButton="0" quotePrefix="0" xfId="0">
      <alignment horizontal="center"/>
    </xf>
    <xf numFmtId="1" fontId="7" fillId="4" borderId="37" applyAlignment="1" pivotButton="0" quotePrefix="0" xfId="0">
      <alignment horizontal="center" vertical="center"/>
    </xf>
    <xf numFmtId="0" fontId="7" fillId="4" borderId="38" applyAlignment="1" pivotButton="0" quotePrefix="0" xfId="0">
      <alignment horizontal="center" vertical="center"/>
    </xf>
    <xf numFmtId="0" fontId="7" fillId="4" borderId="39" applyAlignment="1" pivotButton="0" quotePrefix="0" xfId="0">
      <alignment horizontal="center" vertical="center"/>
    </xf>
    <xf numFmtId="0" fontId="7" fillId="4" borderId="40" applyAlignment="1" pivotButton="0" quotePrefix="0" xfId="0">
      <alignment horizontal="center" vertical="center"/>
    </xf>
    <xf numFmtId="1" fontId="2" fillId="2" borderId="41" applyAlignment="1" pivotButton="0" quotePrefix="0" xfId="0">
      <alignment vertical="center"/>
    </xf>
    <xf numFmtId="49" fontId="2" fillId="2" borderId="42" applyAlignment="1" pivotButton="0" quotePrefix="0" xfId="0">
      <alignment horizontal="left" vertical="center"/>
    </xf>
    <xf numFmtId="0" fontId="11" fillId="2" borderId="42" applyAlignment="1" pivotButton="0" quotePrefix="0" xfId="0">
      <alignment horizontal="left" vertical="center"/>
    </xf>
    <xf numFmtId="0" fontId="2" fillId="2" borderId="43" applyAlignment="1" pivotButton="0" quotePrefix="0" xfId="0">
      <alignment horizontal="left" vertical="center"/>
    </xf>
    <xf numFmtId="0" fontId="2" fillId="2" borderId="42" applyAlignment="1" pivotButton="0" quotePrefix="0" xfId="0">
      <alignment horizontal="left" vertical="center"/>
    </xf>
    <xf numFmtId="1" fontId="2" fillId="2" borderId="44" applyAlignment="1" pivotButton="0" quotePrefix="0" xfId="0">
      <alignment vertical="center"/>
    </xf>
    <xf numFmtId="49" fontId="2" fillId="2" borderId="45" applyAlignment="1" pivotButton="0" quotePrefix="0" xfId="0">
      <alignment horizontal="left" vertical="center"/>
    </xf>
    <xf numFmtId="0" fontId="2" fillId="2" borderId="45" applyAlignment="1" pivotButton="0" quotePrefix="0" xfId="0">
      <alignment horizontal="left" vertical="center"/>
    </xf>
    <xf numFmtId="0" fontId="2" fillId="2" borderId="46" applyAlignment="1" pivotButton="0" quotePrefix="0" xfId="0">
      <alignment horizontal="left" vertical="center"/>
    </xf>
    <xf numFmtId="0" fontId="13" fillId="2" borderId="35" pivotButton="0" quotePrefix="0" xfId="0"/>
    <xf numFmtId="0" fontId="13" fillId="2" borderId="35" applyAlignment="1" pivotButton="0" quotePrefix="0" xfId="0">
      <alignment wrapText="1"/>
    </xf>
    <xf numFmtId="0" fontId="14" fillId="2" borderId="35" pivotButton="0" quotePrefix="0" xfId="0"/>
    <xf numFmtId="0" fontId="2" fillId="2" borderId="35" applyAlignment="1" pivotButton="0" quotePrefix="0" xfId="0">
      <alignment horizontal="center" wrapText="1"/>
    </xf>
    <xf numFmtId="0" fontId="13" fillId="2" borderId="35" applyAlignment="1" pivotButton="0" quotePrefix="0" xfId="0">
      <alignment horizontal="center" wrapText="1"/>
    </xf>
    <xf numFmtId="0" fontId="14" fillId="2" borderId="35" applyAlignment="1" pivotButton="0" quotePrefix="0" xfId="0">
      <alignment horizontal="center" wrapText="1"/>
    </xf>
    <xf numFmtId="0" fontId="9" fillId="2" borderId="35" applyAlignment="1" pivotButton="0" quotePrefix="0" xfId="0">
      <alignment horizontal="center" vertical="center" wrapText="1"/>
    </xf>
    <xf numFmtId="0" fontId="10" fillId="5" borderId="47" applyAlignment="1" pivotButton="0" quotePrefix="0" xfId="0">
      <alignment horizontal="left" vertical="center"/>
    </xf>
    <xf numFmtId="0" fontId="10" fillId="5" borderId="48" applyAlignment="1" pivotButton="0" quotePrefix="0" xfId="0">
      <alignment horizontal="left" vertical="center"/>
    </xf>
    <xf numFmtId="0" fontId="10" fillId="5" borderId="49" applyAlignment="1" pivotButton="0" quotePrefix="0" xfId="0">
      <alignment horizontal="left" vertical="center"/>
    </xf>
    <xf numFmtId="0" fontId="9" fillId="2" borderId="35" applyAlignment="1" pivotButton="0" quotePrefix="0" xfId="0">
      <alignment horizontal="left" vertical="center"/>
    </xf>
    <xf numFmtId="0" fontId="2" fillId="2" borderId="36" applyAlignment="1" pivotButton="0" quotePrefix="0" xfId="0">
      <alignment vertical="top" wrapText="1"/>
    </xf>
    <xf numFmtId="0" fontId="6" fillId="2" borderId="36" applyAlignment="1" pivotButton="0" quotePrefix="0" xfId="0">
      <alignment vertical="top" wrapText="1"/>
    </xf>
    <xf numFmtId="0" fontId="6" fillId="2" borderId="36" applyAlignment="1" pivotButton="0" quotePrefix="0" xfId="0">
      <alignment horizontal="left" vertical="top" wrapText="1"/>
    </xf>
    <xf numFmtId="0" fontId="13" fillId="2" borderId="35" applyAlignment="1" pivotButton="0" quotePrefix="0" xfId="0">
      <alignment vertical="top" wrapText="1"/>
    </xf>
    <xf numFmtId="0" fontId="14" fillId="2" borderId="35" applyAlignment="1" pivotButton="0" quotePrefix="0" xfId="0">
      <alignment vertical="top"/>
    </xf>
    <xf numFmtId="0" fontId="14" fillId="2" borderId="36" applyAlignment="1" pivotButton="0" quotePrefix="0" xfId="0">
      <alignment horizontal="left" vertical="top" wrapText="1"/>
    </xf>
    <xf numFmtId="0" fontId="2" fillId="2" borderId="36" pivotButton="0" quotePrefix="0" xfId="0"/>
    <xf numFmtId="0" fontId="10" fillId="2" borderId="35" pivotButton="0" quotePrefix="0" xfId="0"/>
    <xf numFmtId="164" fontId="2" fillId="2" borderId="35" pivotButton="0" quotePrefix="0" xfId="0"/>
    <xf numFmtId="0" fontId="5" fillId="2" borderId="49" applyAlignment="1" pivotButton="0" quotePrefix="0" xfId="0">
      <alignment horizontal="left"/>
    </xf>
    <xf numFmtId="0" fontId="2" fillId="2" borderId="49" applyAlignment="1" pivotButton="0" quotePrefix="0" xfId="0">
      <alignment vertical="top"/>
    </xf>
    <xf numFmtId="0" fontId="5" fillId="2" borderId="36" applyAlignment="1" pivotButton="0" quotePrefix="0" xfId="0">
      <alignment vertical="center"/>
    </xf>
    <xf numFmtId="0" fontId="6" fillId="2" borderId="49" applyAlignment="1" pivotButton="0" quotePrefix="0" xfId="0">
      <alignment vertical="top"/>
    </xf>
    <xf numFmtId="0" fontId="5" fillId="2" borderId="35" pivotButton="0" quotePrefix="0" xfId="0"/>
    <xf numFmtId="0" fontId="6" fillId="2" borderId="35" pivotButton="0" quotePrefix="0" xfId="0"/>
    <xf numFmtId="0" fontId="2" fillId="2" borderId="50" pivotButton="0" quotePrefix="0" xfId="0"/>
    <xf numFmtId="0" fontId="7" fillId="3" borderId="51" applyAlignment="1" pivotButton="0" quotePrefix="0" xfId="0">
      <alignment horizontal="center"/>
    </xf>
    <xf numFmtId="0" fontId="7" fillId="3" borderId="38" applyAlignment="1" pivotButton="0" quotePrefix="0" xfId="0">
      <alignment horizontal="center"/>
    </xf>
    <xf numFmtId="0" fontId="7" fillId="3" borderId="38" applyAlignment="1" pivotButton="0" quotePrefix="0" xfId="0">
      <alignment horizontal="center" wrapText="1"/>
    </xf>
    <xf numFmtId="0" fontId="7" fillId="3" borderId="39" applyAlignment="1" pivotButton="0" quotePrefix="0" xfId="0">
      <alignment horizontal="center"/>
    </xf>
    <xf numFmtId="0" fontId="7" fillId="3" borderId="52" applyAlignment="1" pivotButton="0" quotePrefix="0" xfId="0">
      <alignment horizontal="center" wrapText="1"/>
    </xf>
    <xf numFmtId="0" fontId="2" fillId="2" borderId="53" applyAlignment="1" pivotButton="0" quotePrefix="0" xfId="0">
      <alignment horizontal="center"/>
    </xf>
    <xf numFmtId="0" fontId="2" fillId="2" borderId="42" pivotButton="0" quotePrefix="0" xfId="0"/>
    <xf numFmtId="0" fontId="2" fillId="2" borderId="42" applyAlignment="1" pivotButton="0" quotePrefix="0" xfId="0">
      <alignment horizontal="center"/>
    </xf>
    <xf numFmtId="0" fontId="2" fillId="2" borderId="54" applyAlignment="1" pivotButton="0" quotePrefix="0" xfId="0">
      <alignment horizontal="center"/>
    </xf>
    <xf numFmtId="0" fontId="2" fillId="2" borderId="55" applyAlignment="1" pivotButton="0" quotePrefix="0" xfId="0">
      <alignment horizontal="center"/>
    </xf>
    <xf numFmtId="0" fontId="15" fillId="3" borderId="56" applyAlignment="1" pivotButton="0" quotePrefix="0" xfId="0">
      <alignment horizontal="center"/>
    </xf>
    <xf numFmtId="0" fontId="7" fillId="3" borderId="45" pivotButton="0" quotePrefix="0" xfId="0"/>
    <xf numFmtId="0" fontId="15" fillId="3" borderId="45" applyAlignment="1" pivotButton="0" quotePrefix="0" xfId="0">
      <alignment horizontal="center"/>
    </xf>
    <xf numFmtId="0" fontId="15" fillId="3" borderId="57" applyAlignment="1" pivotButton="0" quotePrefix="0" xfId="0">
      <alignment horizontal="center"/>
    </xf>
    <xf numFmtId="0" fontId="2" fillId="2" borderId="35" applyAlignment="1" pivotButton="0" quotePrefix="0" xfId="0">
      <alignment horizontal="center"/>
    </xf>
    <xf numFmtId="10" fontId="2" fillId="2" borderId="35" applyAlignment="1" pivotButton="0" quotePrefix="0" xfId="0">
      <alignment horizontal="center"/>
    </xf>
    <xf numFmtId="9" fontId="2" fillId="2" borderId="35" applyAlignment="1" pivotButton="0" quotePrefix="0" xfId="0">
      <alignment horizontal="center"/>
    </xf>
    <xf numFmtId="0" fontId="5" fillId="2" borderId="35" applyAlignment="1" pivotButton="0" quotePrefix="0" xfId="0">
      <alignment horizontal="left"/>
    </xf>
    <xf numFmtId="2" fontId="16" fillId="2" borderId="35" applyAlignment="1" pivotButton="0" quotePrefix="0" xfId="0">
      <alignment horizontal="right" wrapText="1"/>
    </xf>
    <xf numFmtId="0" fontId="6" fillId="2" borderId="35" applyAlignment="1" pivotButton="0" quotePrefix="0" xfId="0">
      <alignment horizontal="left" wrapText="1"/>
    </xf>
    <xf numFmtId="0" fontId="8" fillId="2" borderId="35" applyAlignment="1" pivotButton="0" quotePrefix="0" xfId="0">
      <alignment horizontal="center" vertical="center" wrapText="1"/>
    </xf>
    <xf numFmtId="0" fontId="14" fillId="2" borderId="35" applyAlignment="1" pivotButton="0" quotePrefix="0" xfId="0">
      <alignment horizontal="center" vertical="center" wrapText="1"/>
    </xf>
    <xf numFmtId="0" fontId="10" fillId="5" borderId="58" applyAlignment="1" pivotButton="0" quotePrefix="0" xfId="0">
      <alignment horizontal="left" vertical="center"/>
    </xf>
    <xf numFmtId="0" fontId="10" fillId="5" borderId="59" applyAlignment="1" pivotButton="0" quotePrefix="0" xfId="0">
      <alignment horizontal="left" vertical="center"/>
    </xf>
    <xf numFmtId="0" fontId="10" fillId="5" borderId="60" applyAlignment="1" pivotButton="0" quotePrefix="0" xfId="0">
      <alignment horizontal="left" vertical="center"/>
    </xf>
    <xf numFmtId="0" fontId="6" fillId="2" borderId="35" applyAlignment="1" pivotButton="0" quotePrefix="0" xfId="0">
      <alignment wrapText="1"/>
    </xf>
    <xf numFmtId="0" fontId="7" fillId="6" borderId="61" applyAlignment="1" pivotButton="0" quotePrefix="0" xfId="0">
      <alignment horizontal="center" vertical="center" wrapText="1"/>
    </xf>
    <xf numFmtId="0" fontId="18" fillId="2" borderId="61" applyAlignment="1" pivotButton="0" quotePrefix="0" xfId="0">
      <alignment horizontal="center" vertical="top" wrapText="1"/>
    </xf>
    <xf numFmtId="0" fontId="2" fillId="2" borderId="61" applyAlignment="1" pivotButton="0" quotePrefix="0" xfId="0">
      <alignment horizontal="center" vertical="top" wrapText="1"/>
    </xf>
    <xf numFmtId="0" fontId="18" fillId="2" borderId="62" applyAlignment="1" pivotButton="0" quotePrefix="0" xfId="0">
      <alignment horizontal="center" vertical="top" wrapText="1"/>
    </xf>
    <xf numFmtId="0" fontId="18" fillId="2" borderId="63" applyAlignment="1" pivotButton="0" quotePrefix="0" xfId="0">
      <alignment horizontal="center" vertical="top" wrapText="1"/>
    </xf>
    <xf numFmtId="0" fontId="18" fillId="2" borderId="64" applyAlignment="1" pivotButton="0" quotePrefix="0" xfId="0">
      <alignment horizontal="center" vertical="top" wrapText="1"/>
    </xf>
    <xf numFmtId="0" fontId="2" fillId="2" borderId="65" applyAlignment="1" pivotButton="0" quotePrefix="0" xfId="0">
      <alignment horizontal="center" vertical="top" wrapText="1"/>
    </xf>
    <xf numFmtId="0" fontId="2" fillId="2" borderId="66" applyAlignment="1" pivotButton="0" quotePrefix="0" xfId="0">
      <alignment horizontal="center" vertical="top" wrapText="1"/>
    </xf>
    <xf numFmtId="0" fontId="2" fillId="2" borderId="63" applyAlignment="1" pivotButton="0" quotePrefix="0" xfId="0">
      <alignment horizontal="center" vertical="top" wrapText="1"/>
    </xf>
    <xf numFmtId="0" fontId="10" fillId="2" borderId="67" applyAlignment="1" pivotButton="0" quotePrefix="0" xfId="0">
      <alignment horizontal="center" vertical="top" wrapText="1"/>
    </xf>
    <xf numFmtId="0" fontId="10" fillId="2" borderId="62" applyAlignment="1" pivotButton="0" quotePrefix="0" xfId="0">
      <alignment horizontal="center" vertical="top" wrapText="1"/>
    </xf>
    <xf numFmtId="0" fontId="12" fillId="2" borderId="42" applyAlignment="1" pivotButton="0" quotePrefix="0" xfId="0">
      <alignment horizontal="left" vertical="center"/>
    </xf>
    <xf numFmtId="1" fontId="5" fillId="2" borderId="36" applyAlignment="1" pivotButton="0" quotePrefix="0" xfId="0">
      <alignment vertical="center" wrapText="1"/>
    </xf>
    <xf numFmtId="1" fontId="5" fillId="2" borderId="47" pivotButton="0" quotePrefix="0" xfId="0"/>
    <xf numFmtId="0" fontId="6" fillId="2" borderId="36" applyAlignment="1" pivotButton="0" quotePrefix="0" xfId="0">
      <alignment horizontal="left"/>
    </xf>
    <xf numFmtId="0" fontId="5" fillId="2" borderId="36" applyAlignment="1" pivotButton="0" quotePrefix="0" xfId="0">
      <alignment horizontal="left"/>
    </xf>
    <xf numFmtId="0" fontId="6" fillId="2" borderId="36" applyAlignment="1" pivotButton="0" quotePrefix="0" xfId="0">
      <alignment vertical="top"/>
    </xf>
    <xf numFmtId="0" fontId="4" fillId="2" borderId="35" applyAlignment="1" pivotButton="0" quotePrefix="0" xfId="0">
      <alignment horizontal="center"/>
    </xf>
    <xf numFmtId="0" fontId="2" fillId="2" borderId="68" applyAlignment="1" pivotButton="0" quotePrefix="0" xfId="0">
      <alignment horizontal="left" vertical="top" wrapText="1"/>
    </xf>
    <xf numFmtId="0" fontId="2" fillId="2" borderId="69" applyAlignment="1" pivotButton="0" quotePrefix="0" xfId="0">
      <alignment horizontal="left" vertical="top" wrapText="1"/>
    </xf>
    <xf numFmtId="0" fontId="2" fillId="2" borderId="61" applyAlignment="1" pivotButton="0" quotePrefix="0" xfId="0">
      <alignment horizontal="left" vertical="top" wrapText="1"/>
    </xf>
    <xf numFmtId="0" fontId="2" fillId="2" borderId="63" applyAlignment="1" pivotButton="0" quotePrefix="0" xfId="0">
      <alignment horizontal="left" vertical="top" wrapText="1"/>
    </xf>
    <xf numFmtId="0" fontId="3" fillId="0" borderId="4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2" fillId="0" borderId="35" applyAlignment="1" pivotButton="0" quotePrefix="0" xfId="0">
      <alignment horizontal="center" vertical="center"/>
    </xf>
    <xf numFmtId="0" fontId="6" fillId="0" borderId="35" applyAlignment="1" pivotButton="0" quotePrefix="0" xfId="0">
      <alignment horizontal="left"/>
    </xf>
    <xf numFmtId="0" fontId="2" fillId="0" borderId="35" pivotButton="0" quotePrefix="0" xfId="0"/>
    <xf numFmtId="0" fontId="10" fillId="2" borderId="36" applyAlignment="1" pivotButton="0" quotePrefix="0" xfId="0">
      <alignment horizontal="left"/>
    </xf>
    <xf numFmtId="0" fontId="21" fillId="0" borderId="36" applyAlignment="1" pivotButton="0" quotePrefix="0" xfId="0">
      <alignment horizontal="left"/>
    </xf>
    <xf numFmtId="0" fontId="2" fillId="0" borderId="49" pivotButton="0" quotePrefix="0" xfId="0"/>
    <xf numFmtId="0" fontId="21" fillId="0" borderId="49" pivotButton="0" quotePrefix="0" xfId="0"/>
    <xf numFmtId="0" fontId="10" fillId="2" borderId="36" applyAlignment="1" pivotButton="0" quotePrefix="0" xfId="0">
      <alignment vertical="center"/>
    </xf>
    <xf numFmtId="0" fontId="21" fillId="0" borderId="47" applyAlignment="1" pivotButton="0" quotePrefix="0" xfId="0">
      <alignment horizontal="left" vertical="center"/>
    </xf>
    <xf numFmtId="0" fontId="21" fillId="0" borderId="48" applyAlignment="1" pivotButton="0" quotePrefix="0" xfId="0">
      <alignment horizontal="left" vertical="center"/>
    </xf>
    <xf numFmtId="0" fontId="21" fillId="0" borderId="49" applyAlignment="1" pivotButton="0" quotePrefix="0" xfId="0">
      <alignment horizontal="left" vertical="center"/>
    </xf>
    <xf numFmtId="0" fontId="21" fillId="0" borderId="49" applyAlignment="1" pivotButton="0" quotePrefix="0" xfId="0">
      <alignment horizontal="left"/>
    </xf>
    <xf numFmtId="0" fontId="10" fillId="0" borderId="35" pivotButton="0" quotePrefix="0" xfId="0"/>
    <xf numFmtId="0" fontId="5" fillId="0" borderId="35" applyAlignment="1" pivotButton="0" quotePrefix="0" xfId="0">
      <alignment horizontal="left"/>
    </xf>
    <xf numFmtId="0" fontId="10" fillId="0" borderId="35" applyAlignment="1" pivotButton="0" quotePrefix="0" xfId="0">
      <alignment horizontal="left"/>
    </xf>
    <xf numFmtId="164" fontId="7" fillId="3" borderId="37" applyAlignment="1" pivotButton="0" quotePrefix="0" xfId="0">
      <alignment horizontal="center" vertical="center"/>
    </xf>
    <xf numFmtId="0" fontId="7" fillId="3" borderId="38" applyAlignment="1" pivotButton="0" quotePrefix="0" xfId="0">
      <alignment horizontal="center" vertical="center"/>
    </xf>
    <xf numFmtId="0" fontId="7" fillId="3" borderId="40" applyAlignment="1" pivotButton="0" quotePrefix="0" xfId="0">
      <alignment horizontal="center" vertical="center"/>
    </xf>
    <xf numFmtId="0" fontId="2" fillId="0" borderId="35" applyAlignment="1" pivotButton="0" quotePrefix="0" xfId="0">
      <alignment vertical="center"/>
    </xf>
    <xf numFmtId="0" fontId="21" fillId="0" borderId="41" applyAlignment="1" pivotButton="0" quotePrefix="0" xfId="0">
      <alignment vertical="top" wrapText="1"/>
    </xf>
    <xf numFmtId="49" fontId="2" fillId="0" borderId="42" applyAlignment="1" pivotButton="0" quotePrefix="0" xfId="0">
      <alignment vertical="top"/>
    </xf>
    <xf numFmtId="0" fontId="2" fillId="0" borderId="42" applyAlignment="1" pivotButton="0" quotePrefix="0" xfId="0">
      <alignment vertical="top"/>
    </xf>
    <xf numFmtId="15" fontId="2" fillId="0" borderId="42" applyAlignment="1" pivotButton="0" quotePrefix="0" xfId="0">
      <alignment vertical="top"/>
    </xf>
    <xf numFmtId="0" fontId="21" fillId="0" borderId="43" applyAlignment="1" pivotButton="0" quotePrefix="0" xfId="0">
      <alignment vertical="top" wrapText="1"/>
    </xf>
    <xf numFmtId="0" fontId="2" fillId="0" borderId="35" applyAlignment="1" pivotButton="0" quotePrefix="0" xfId="0">
      <alignment vertical="top"/>
    </xf>
    <xf numFmtId="164" fontId="2" fillId="0" borderId="41" applyAlignment="1" pivotButton="0" quotePrefix="0" xfId="0">
      <alignment vertical="top"/>
    </xf>
    <xf numFmtId="0" fontId="2" fillId="0" borderId="43" applyAlignment="1" pivotButton="0" quotePrefix="0" xfId="0">
      <alignment vertical="top"/>
    </xf>
    <xf numFmtId="164" fontId="2" fillId="0" borderId="44" applyAlignment="1" pivotButton="0" quotePrefix="0" xfId="0">
      <alignment vertical="top"/>
    </xf>
    <xf numFmtId="49" fontId="2" fillId="0" borderId="45" applyAlignment="1" pivotButton="0" quotePrefix="0" xfId="0">
      <alignment vertical="top"/>
    </xf>
    <xf numFmtId="0" fontId="2" fillId="0" borderId="45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2" fillId="0" borderId="35" applyAlignment="1" pivotButton="0" quotePrefix="0" xfId="0">
      <alignment horizontal="left"/>
    </xf>
    <xf numFmtId="0" fontId="7" fillId="6" borderId="26" applyAlignment="1" pivotButton="0" quotePrefix="0" xfId="0">
      <alignment horizontal="center" vertical="center" wrapText="1"/>
    </xf>
    <xf numFmtId="0" fontId="10" fillId="5" borderId="23" applyAlignment="1" pivotButton="0" quotePrefix="0" xfId="0">
      <alignment horizontal="left" vertical="center" wrapText="1"/>
    </xf>
    <xf numFmtId="0" fontId="10" fillId="5" borderId="24" applyAlignment="1" pivotButton="0" quotePrefix="0" xfId="0">
      <alignment horizontal="left" vertical="center" wrapText="1"/>
    </xf>
    <xf numFmtId="0" fontId="6" fillId="2" borderId="1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4" fillId="2" borderId="1" applyAlignment="1" pivotButton="0" quotePrefix="0" xfId="0">
      <alignment horizontal="left" vertical="top" wrapText="1"/>
    </xf>
    <xf numFmtId="0" fontId="10" fillId="5" borderId="58" applyAlignment="1" pivotButton="0" quotePrefix="0" xfId="0">
      <alignment horizontal="left" vertical="center" wrapText="1"/>
    </xf>
    <xf numFmtId="0" fontId="10" fillId="5" borderId="59" applyAlignment="1" pivotButton="0" quotePrefix="0" xfId="0">
      <alignment horizontal="left" vertical="center" wrapText="1"/>
    </xf>
    <xf numFmtId="0" fontId="4" fillId="0" borderId="36" applyAlignment="1" pivotButton="0" quotePrefix="0" xfId="5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21" fillId="0" borderId="36" applyAlignment="1" pivotButton="0" quotePrefix="0" xfId="5">
      <alignment horizontal="left"/>
    </xf>
    <xf numFmtId="0" fontId="21" fillId="0" borderId="36" applyAlignment="1" pivotButton="0" quotePrefix="0" xfId="5">
      <alignment horizontal="left" vertical="center"/>
    </xf>
    <xf numFmtId="1" fontId="2" fillId="2" borderId="80" applyAlignment="1" pivotButton="0" quotePrefix="0" xfId="0">
      <alignment vertical="top" wrapText="1"/>
    </xf>
    <xf numFmtId="49" fontId="2" fillId="2" borderId="80" applyAlignment="1" pivotButton="0" quotePrefix="0" xfId="0">
      <alignment vertical="top" wrapText="1"/>
    </xf>
    <xf numFmtId="0" fontId="12" fillId="2" borderId="80" applyAlignment="1" pivotButton="0" quotePrefix="0" xfId="1">
      <alignment vertical="top" wrapText="1"/>
    </xf>
    <xf numFmtId="0" fontId="11" fillId="2" borderId="80" applyAlignment="1" pivotButton="0" quotePrefix="0" xfId="1">
      <alignment vertical="top" wrapText="1"/>
    </xf>
    <xf numFmtId="0" fontId="2" fillId="2" borderId="80" applyAlignment="1" pivotButton="0" quotePrefix="0" xfId="0">
      <alignment vertical="top" wrapText="1"/>
    </xf>
    <xf numFmtId="0" fontId="0" fillId="0" borderId="80" applyAlignment="1" pivotButton="0" quotePrefix="0" xfId="0">
      <alignment vertical="top" wrapText="1"/>
    </xf>
    <xf numFmtId="0" fontId="4" fillId="2" borderId="35" applyAlignment="1" pivotButton="0" quotePrefix="0" xfId="2">
      <alignment horizontal="center"/>
    </xf>
    <xf numFmtId="0" fontId="6" fillId="2" borderId="36" applyAlignment="1" pivotButton="0" quotePrefix="0" xfId="2">
      <alignment vertical="top"/>
    </xf>
    <xf numFmtId="0" fontId="2" fillId="2" borderId="68" applyAlignment="1" pivotButton="0" quotePrefix="0" xfId="3">
      <alignment horizontal="left" vertical="top" wrapText="1"/>
    </xf>
    <xf numFmtId="0" fontId="0" fillId="0" borderId="74" pivotButton="0" quotePrefix="0" xfId="0"/>
    <xf numFmtId="0" fontId="0" fillId="0" borderId="75" pivotButton="0" quotePrefix="0" xfId="0"/>
    <xf numFmtId="0" fontId="2" fillId="2" borderId="61" applyAlignment="1" pivotButton="0" quotePrefix="0" xfId="3">
      <alignment horizontal="left" vertical="top" wrapText="1"/>
    </xf>
    <xf numFmtId="0" fontId="0" fillId="0" borderId="78" pivotButton="0" quotePrefix="0" xfId="0"/>
    <xf numFmtId="0" fontId="0" fillId="0" borderId="79" pivotButton="0" quotePrefix="0" xfId="0"/>
    <xf numFmtId="0" fontId="2" fillId="2" borderId="80" applyAlignment="1" pivotButton="0" quotePrefix="0" xfId="3">
      <alignment vertical="top" wrapText="1"/>
    </xf>
    <xf numFmtId="0" fontId="6" fillId="2" borderId="80" applyAlignment="1" pivotButton="0" quotePrefix="0" xfId="0">
      <alignment vertical="top" wrapText="1"/>
    </xf>
    <xf numFmtId="0" fontId="14" fillId="2" borderId="80" applyAlignment="1" pivotButton="0" quotePrefix="0" xfId="0">
      <alignment vertical="top" wrapText="1"/>
    </xf>
    <xf numFmtId="0" fontId="10" fillId="5" borderId="80" applyAlignment="1" pivotButton="0" quotePrefix="0" xfId="3">
      <alignment vertical="top" wrapText="1"/>
    </xf>
  </cellXfs>
  <cellStyles count="6">
    <cellStyle name="Normal" xfId="0"/>
    <cellStyle name="Hyperlink" xfId="1"/>
    <cellStyle name="Normal_Functional Test Case v1.0" xfId="2"/>
    <cellStyle name="Normal_Sheet1" xfId="3"/>
    <cellStyle name="標準_結合試験(AllOvertheWorld)" xfId="4"/>
    <cellStyle name="Normal_Template_UnitTest Case_v0.9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1" name="/xl/media/image1.png"/>
        <cNvPicPr>
          <a:picLocks noChangeAspect="1"/>
        </cNvPicPr>
      </nvPicPr>
      <blipFill>
        <a:blip r:embed="rId1"/>
        <a:stretch>
          <a:fillRect/>
        </a:stretch>
      </blipFill>
      <spPr>
        <a:prstGeom prst="rect"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7"/>
  <sheetViews>
    <sheetView showGridLines="0" workbookViewId="0">
      <selection activeCell="A1" sqref="A1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295" t="inlineStr">
        <is>
          <t>TEST REPORT DOCUMENT</t>
        </is>
      </c>
      <c r="C2" s="296" t="n"/>
      <c r="D2" s="296" t="n"/>
      <c r="E2" s="296" t="n"/>
      <c r="F2" s="297" t="n"/>
    </row>
    <row r="3">
      <c r="A3" s="116" t="n"/>
      <c r="B3" s="130" t="n"/>
      <c r="E3" s="119" t="n"/>
    </row>
    <row r="4" ht="14.25" customHeight="1">
      <c r="A4" s="120" t="inlineStr">
        <is>
          <t>Project Name</t>
        </is>
      </c>
      <c r="B4" s="298" t="inlineStr">
        <is>
          <t>VISTA: Vision-Language-Action System for Tabletop Manipulation with Dual Robot Arms</t>
        </is>
      </c>
      <c r="C4" s="296" t="n"/>
      <c r="D4" s="297" t="n"/>
      <c r="E4" s="120" t="inlineStr">
        <is>
          <t>Creator</t>
        </is>
      </c>
      <c r="F4" s="122" t="n"/>
    </row>
    <row r="5" ht="14.25" customHeight="1">
      <c r="A5" s="120" t="inlineStr">
        <is>
          <t>Project Code</t>
        </is>
      </c>
      <c r="B5" s="298" t="inlineStr">
        <is>
          <t>FA26SE183</t>
        </is>
      </c>
      <c r="C5" s="296" t="n"/>
      <c r="D5" s="297" t="n"/>
      <c r="E5" s="120" t="inlineStr">
        <is>
          <t>Issue Date</t>
        </is>
      </c>
      <c r="F5" s="123" t="inlineStr">
        <is>
          <t>27/10/2026</t>
        </is>
      </c>
    </row>
    <row r="6" ht="15.75" customHeight="1">
      <c r="A6" s="124" t="inlineStr">
        <is>
          <t>Document Code</t>
        </is>
      </c>
      <c r="B6" s="299" t="inlineStr">
        <is>
          <t>SEP490_FA26SE183_R2_TestReport_v0.2</t>
        </is>
      </c>
      <c r="C6" s="296" t="n"/>
      <c r="D6" s="297" t="n"/>
      <c r="E6" s="120" t="inlineStr">
        <is>
          <t>Version</t>
        </is>
      </c>
      <c r="F6" s="128" t="n"/>
    </row>
    <row r="7">
      <c r="A7" s="129" t="n"/>
      <c r="B7" s="130" t="n"/>
      <c r="E7" s="131" t="n"/>
      <c r="F7" s="130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37" t="inlineStr">
        <is>
          <t>&lt;Date when these changes are effective&gt;</t>
        </is>
      </c>
      <c r="B11" s="138" t="inlineStr">
        <is>
          <t>27/10/2026</t>
        </is>
      </c>
      <c r="C11" s="139" t="inlineStr">
        <is>
          <t>0.2</t>
        </is>
      </c>
      <c r="D11" s="139" t="inlineStr">
        <is>
          <t>M</t>
        </is>
      </c>
      <c r="E11" s="140" t="inlineStr">
        <is>
          <t>Reconciled proposed test inventory; no execution result claimed</t>
        </is>
      </c>
      <c r="F11" s="141" t="inlineStr">
        <is>
          <t>BM01; traceability matrix; state-transition inventory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7" right="0.7" top="0.75" bottom="0.75" header="0.3" footer="0.3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10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10" defaultColWidth="9" defaultRowHeight="13"/>
  <cols>
    <col width="1.33203125" customWidth="1" style="61" min="1" max="1"/>
    <col width="12" customWidth="1" style="5" min="2" max="2"/>
    <col width="34" customWidth="1" style="4" min="3" max="3"/>
    <col width="22" customWidth="1" style="4" min="4" max="4"/>
    <col width="46" customWidth="1" style="4" min="5" max="5"/>
    <col width="38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243" t="inlineStr">
        <is>
          <t>Project Name</t>
        </is>
      </c>
      <c r="C3" s="296" t="n"/>
      <c r="D3" s="244" t="inlineStr">
        <is>
          <t>VISTA</t>
        </is>
      </c>
      <c r="E3" s="296" t="n"/>
      <c r="F3" s="297" t="n"/>
    </row>
    <row r="4">
      <c r="B4" s="243" t="inlineStr">
        <is>
          <t>Project Code</t>
        </is>
      </c>
      <c r="C4" s="296" t="n"/>
      <c r="D4" s="244" t="inlineStr">
        <is>
          <t>FA26SE183</t>
        </is>
      </c>
      <c r="E4" s="296" t="n"/>
      <c r="F4" s="297" t="n"/>
    </row>
    <row r="5" ht="84.75" customFormat="1" customHeight="1" s="33">
      <c r="B5" s="242" t="inlineStr">
        <is>
          <t>Test Environment Setup Description</t>
        </is>
      </c>
      <c r="C5" s="297" t="n"/>
      <c r="D5" s="189" t="inlineStr">
        <is>
          <t>Isolated role-seeded NestJS API + controlled Supabase/PostgreSQL; CI/staging not yet verified</t>
        </is>
      </c>
      <c r="E5" s="296" t="n"/>
      <c r="F5" s="297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300" t="n">
        <v>1</v>
      </c>
      <c r="C9" s="301" t="inlineStr">
        <is>
          <t>TC-FR01-01 — FR-01 Role-governed access</t>
        </is>
      </c>
      <c r="D9" s="302" t="inlineStr">
        <is>
          <t>Feature 1</t>
        </is>
      </c>
      <c r="E9" s="303" t="inlineStr">
        <is>
          <t>Happy path: access a role-scoped API</t>
        </is>
      </c>
      <c r="F9" s="304" t="inlineStr">
        <is>
          <t>Seeded authorized identity and valid domain data</t>
        </is>
      </c>
    </row>
    <row r="10" ht="14" customHeight="1">
      <c r="B10" s="300" t="n">
        <v>2</v>
      </c>
      <c r="C10" s="301" t="inlineStr">
        <is>
          <t>TC-FR01-02 — FR-01 Role-governed access</t>
        </is>
      </c>
      <c r="D10" s="302" t="inlineStr">
        <is>
          <t>Feature 1</t>
        </is>
      </c>
      <c r="E10" s="303" t="inlineStr">
        <is>
          <t>Validation boundary: access a role-scoped API</t>
        </is>
      </c>
      <c r="F10" s="304" t="inlineStr">
        <is>
          <t>Seeded authorized identity</t>
        </is>
      </c>
    </row>
    <row r="11" ht="14" customHeight="1">
      <c r="B11" s="300" t="n">
        <v>3</v>
      </c>
      <c r="C11" s="301" t="inlineStr">
        <is>
          <t>TC-FR01-03 — FR-01 Role-governed access</t>
        </is>
      </c>
      <c r="D11" s="302" t="inlineStr">
        <is>
          <t>Feature 1</t>
        </is>
      </c>
      <c r="E11" s="303" t="inlineStr">
        <is>
          <t>Authorization boundary: cross-role/cross-organization access</t>
        </is>
      </c>
      <c r="F11" s="304" t="inlineStr">
        <is>
          <t>Seeded second organization and unauthorized identity</t>
        </is>
      </c>
    </row>
    <row r="12" ht="14" customHeight="1">
      <c r="B12" s="300" t="n">
        <v>4</v>
      </c>
      <c r="C12" s="301" t="inlineStr">
        <is>
          <t>TC-FR02-01 — FR-02 Classroom robot allocation</t>
        </is>
      </c>
      <c r="D12" s="302" t="inlineStr">
        <is>
          <t>Feature 2</t>
        </is>
      </c>
      <c r="E12" s="303" t="inlineStr">
        <is>
          <t>Happy path: allocate an entitled robot to an owned classroom</t>
        </is>
      </c>
      <c r="F12" s="304" t="inlineStr">
        <is>
          <t>Seeded authorized identity and valid domain data</t>
        </is>
      </c>
    </row>
    <row r="13" ht="14" customHeight="1">
      <c r="B13" s="300" t="n">
        <v>5</v>
      </c>
      <c r="C13" s="301" t="inlineStr">
        <is>
          <t>TC-FR02-02 — FR-02 Classroom robot allocation</t>
        </is>
      </c>
      <c r="D13" s="302" t="inlineStr">
        <is>
          <t>Feature 2</t>
        </is>
      </c>
      <c r="E13" s="303" t="inlineStr">
        <is>
          <t>Validation boundary: allocate an entitled robot to an owned classroom</t>
        </is>
      </c>
      <c r="F13" s="304" t="inlineStr">
        <is>
          <t>Seeded authorized identity</t>
        </is>
      </c>
    </row>
    <row r="14">
      <c r="B14" s="300" t="n">
        <v>6</v>
      </c>
      <c r="C14" s="301" t="inlineStr">
        <is>
          <t>TC-FR02-03 — FR-02 Classroom robot allocation</t>
        </is>
      </c>
      <c r="D14" s="304" t="inlineStr">
        <is>
          <t>Feature 2</t>
        </is>
      </c>
      <c r="E14" s="304" t="inlineStr">
        <is>
          <t>Authorization boundary: allocate an unentitled or foreign robot</t>
        </is>
      </c>
      <c r="F14" s="304" t="inlineStr">
        <is>
          <t>Seeded second organization and unauthorized identity</t>
        </is>
      </c>
    </row>
    <row r="15">
      <c r="B15" s="300" t="n">
        <v>7</v>
      </c>
      <c r="C15" s="301" t="inlineStr">
        <is>
          <t>TC-FR03-01 — FR-03 Assignment publication</t>
        </is>
      </c>
      <c r="D15" s="304" t="inlineStr">
        <is>
          <t>Feature 3</t>
        </is>
      </c>
      <c r="E15" s="304" t="inlineStr">
        <is>
          <t>Happy path: create and publish classroom work</t>
        </is>
      </c>
      <c r="F15" s="304" t="inlineStr">
        <is>
          <t>Seeded authorized identity and valid domain data</t>
        </is>
      </c>
    </row>
    <row r="16">
      <c r="B16" s="300" t="n">
        <v>8</v>
      </c>
      <c r="C16" s="301" t="inlineStr">
        <is>
          <t>TC-FR03-02 — FR-03 Assignment publication</t>
        </is>
      </c>
      <c r="D16" s="304" t="inlineStr">
        <is>
          <t>Feature 3</t>
        </is>
      </c>
      <c r="E16" s="304" t="inlineStr">
        <is>
          <t>Validation boundary: create and publish classroom work</t>
        </is>
      </c>
      <c r="F16" s="304" t="inlineStr">
        <is>
          <t>Seeded authorized identity</t>
        </is>
      </c>
    </row>
    <row r="17">
      <c r="B17" s="300" t="n">
        <v>9</v>
      </c>
      <c r="C17" s="301" t="inlineStr">
        <is>
          <t>TC-FR03-03 — FR-03 Assignment publication</t>
        </is>
      </c>
      <c r="D17" s="304" t="inlineStr">
        <is>
          <t>Feature 3</t>
        </is>
      </c>
      <c r="E17" s="304" t="inlineStr">
        <is>
          <t>Authorization boundary: publish into an unowned classroom</t>
        </is>
      </c>
      <c r="F17" s="304" t="inlineStr">
        <is>
          <t>Seeded second organization and unauthorized identity</t>
        </is>
      </c>
    </row>
    <row r="18">
      <c r="B18" s="300" t="n">
        <v>10</v>
      </c>
      <c r="C18" s="301" t="inlineStr">
        <is>
          <t>TC-FR04-01 — FR-04 Immutable program submission</t>
        </is>
      </c>
      <c r="D18" s="304" t="inlineStr">
        <is>
          <t>Feature 4</t>
        </is>
      </c>
      <c r="E18" s="304" t="inlineStr">
        <is>
          <t>Happy path: submit an owned immutable program version</t>
        </is>
      </c>
      <c r="F18" s="304" t="inlineStr">
        <is>
          <t>Seeded authorized identity and valid domain data</t>
        </is>
      </c>
    </row>
    <row r="19">
      <c r="B19" s="300" t="n">
        <v>11</v>
      </c>
      <c r="C19" s="301" t="inlineStr">
        <is>
          <t>TC-FR04-02 — FR-04 Immutable program submission</t>
        </is>
      </c>
      <c r="D19" s="304" t="inlineStr">
        <is>
          <t>Feature 4</t>
        </is>
      </c>
      <c r="E19" s="304" t="inlineStr">
        <is>
          <t>Validation boundary: submit an owned immutable program version</t>
        </is>
      </c>
      <c r="F19" s="304" t="inlineStr">
        <is>
          <t>Seeded authorized identity</t>
        </is>
      </c>
    </row>
    <row r="20">
      <c r="B20" s="300" t="n">
        <v>12</v>
      </c>
      <c r="C20" s="301" t="inlineStr">
        <is>
          <t>TC-FR04-03 — FR-04 Immutable program submission</t>
        </is>
      </c>
      <c r="D20" s="304" t="inlineStr">
        <is>
          <t>Feature 4</t>
        </is>
      </c>
      <c r="E20" s="304" t="inlineStr">
        <is>
          <t>Authorization boundary: submit another learner's version</t>
        </is>
      </c>
      <c r="F20" s="304" t="inlineStr">
        <is>
          <t>Seeded second organization and unauthorized identity</t>
        </is>
      </c>
    </row>
    <row r="21">
      <c r="B21" s="300" t="n">
        <v>13</v>
      </c>
      <c r="C21" s="301" t="inlineStr">
        <is>
          <t>TC-FR05-01 — FR-05 Schematic experiment</t>
        </is>
      </c>
      <c r="D21" s="304" t="inlineStr">
        <is>
          <t>Feature 5</t>
        </is>
      </c>
      <c r="E21" s="304" t="inlineStr">
        <is>
          <t>Happy path: run and persist a schematic experiment</t>
        </is>
      </c>
      <c r="F21" s="304" t="inlineStr">
        <is>
          <t>Seeded authorized identity and valid domain data</t>
        </is>
      </c>
    </row>
    <row r="22">
      <c r="B22" s="305" t="n">
        <v>14</v>
      </c>
      <c r="C22" s="305" t="inlineStr">
        <is>
          <t>TC-FR05-02 — FR-05 Schematic experiment</t>
        </is>
      </c>
      <c r="D22" s="305" t="inlineStr">
        <is>
          <t>Feature 5</t>
        </is>
      </c>
      <c r="E22" s="305" t="inlineStr">
        <is>
          <t>Validation boundary: run and persist a schematic experiment</t>
        </is>
      </c>
      <c r="F22" s="305" t="inlineStr">
        <is>
          <t>Seeded authorized identity</t>
        </is>
      </c>
    </row>
    <row r="23">
      <c r="B23" s="305" t="n">
        <v>15</v>
      </c>
      <c r="C23" s="305" t="inlineStr">
        <is>
          <t>TC-FR05-03 — FR-05 Schematic experiment</t>
        </is>
      </c>
      <c r="D23" s="305" t="inlineStr">
        <is>
          <t>Feature 5</t>
        </is>
      </c>
      <c r="E23" s="305" t="inlineStr">
        <is>
          <t>Authorization boundary: run outside the learner scope</t>
        </is>
      </c>
      <c r="F23" s="305" t="inlineStr">
        <is>
          <t>Seeded second organization and unauthorized identity</t>
        </is>
      </c>
    </row>
    <row r="24">
      <c r="B24" s="305" t="n">
        <v>16</v>
      </c>
      <c r="C24" s="305" t="inlineStr">
        <is>
          <t>TC-FR06-01 — FR-06 Physical execution boundary</t>
        </is>
      </c>
      <c r="D24" s="305" t="inlineStr">
        <is>
          <t>Feature 6</t>
        </is>
      </c>
      <c r="E24" s="305" t="inlineStr">
        <is>
          <t>Happy path: request an eligible bounded physical run</t>
        </is>
      </c>
      <c r="F24" s="305" t="inlineStr">
        <is>
          <t>Seeded authorized identity and valid domain data</t>
        </is>
      </c>
    </row>
    <row r="25">
      <c r="B25" s="305" t="n">
        <v>17</v>
      </c>
      <c r="C25" s="305" t="inlineStr">
        <is>
          <t>TC-FR06-02 — FR-06 Physical execution boundary</t>
        </is>
      </c>
      <c r="D25" s="305" t="inlineStr">
        <is>
          <t>Feature 6</t>
        </is>
      </c>
      <c r="E25" s="305" t="inlineStr">
        <is>
          <t>Validation boundary: request an eligible bounded physical run</t>
        </is>
      </c>
      <c r="F25" s="305" t="inlineStr">
        <is>
          <t>Seeded authorized identity</t>
        </is>
      </c>
    </row>
    <row r="26">
      <c r="B26" s="305" t="n">
        <v>18</v>
      </c>
      <c r="C26" s="305" t="inlineStr">
        <is>
          <t>TC-FR06-03 — FR-06 Physical execution boundary</t>
        </is>
      </c>
      <c r="D26" s="305" t="inlineStr">
        <is>
          <t>Feature 6</t>
        </is>
      </c>
      <c r="E26" s="305" t="inlineStr">
        <is>
          <t>Authorization boundary: report success after unavailable/unsafe execution</t>
        </is>
      </c>
      <c r="F26" s="305" t="inlineStr">
        <is>
          <t>Seeded second organization and unauthorized identity</t>
        </is>
      </c>
    </row>
    <row r="27">
      <c r="B27" s="305" t="n">
        <v>19</v>
      </c>
      <c r="C27" s="305" t="inlineStr">
        <is>
          <t>TC-FR07-01 — FR-07 Assessment and feedback</t>
        </is>
      </c>
      <c r="D27" s="305" t="inlineStr">
        <is>
          <t>Feature 7</t>
        </is>
      </c>
      <c r="E27" s="305" t="inlineStr">
        <is>
          <t>Happy path: assess work and publish/read scoped feedback</t>
        </is>
      </c>
      <c r="F27" s="305" t="inlineStr">
        <is>
          <t>Seeded authorized identity and valid domain data</t>
        </is>
      </c>
    </row>
    <row r="28">
      <c r="B28" s="305" t="n">
        <v>20</v>
      </c>
      <c r="C28" s="305" t="inlineStr">
        <is>
          <t>TC-FR07-02 — FR-07 Assessment and feedback</t>
        </is>
      </c>
      <c r="D28" s="305" t="inlineStr">
        <is>
          <t>Feature 7</t>
        </is>
      </c>
      <c r="E28" s="305" t="inlineStr">
        <is>
          <t>Validation boundary: assess work and publish/read scoped feedback</t>
        </is>
      </c>
      <c r="F28" s="305" t="inlineStr">
        <is>
          <t>Seeded authorized identity</t>
        </is>
      </c>
    </row>
    <row r="29">
      <c r="B29" s="305" t="n">
        <v>21</v>
      </c>
      <c r="C29" s="305" t="inlineStr">
        <is>
          <t>TC-FR07-03 — FR-07 Assessment and feedback</t>
        </is>
      </c>
      <c r="D29" s="305" t="inlineStr">
        <is>
          <t>Feature 7</t>
        </is>
      </c>
      <c r="E29" s="305" t="inlineStr">
        <is>
          <t>Authorization boundary: review or read a foreign submission</t>
        </is>
      </c>
      <c r="F29" s="305" t="inlineStr">
        <is>
          <t>Seeded second organization and unauthorized identity</t>
        </is>
      </c>
    </row>
    <row r="30">
      <c r="B30" s="305" t="n">
        <v>22</v>
      </c>
      <c r="C30" s="305" t="inlineStr">
        <is>
          <t>TC-FR08-01 — FR-08 AI/model provenance</t>
        </is>
      </c>
      <c r="D30" s="305" t="inlineStr">
        <is>
          <t>Feature 8</t>
        </is>
      </c>
      <c r="E30" s="305" t="inlineStr">
        <is>
          <t>Happy path: read traceable AI/model/dataset metadata</t>
        </is>
      </c>
      <c r="F30" s="305" t="inlineStr">
        <is>
          <t>Seeded authorized identity and valid domain data</t>
        </is>
      </c>
    </row>
    <row r="31">
      <c r="B31" s="305" t="n">
        <v>23</v>
      </c>
      <c r="C31" s="305" t="inlineStr">
        <is>
          <t>TC-FR08-02 — FR-08 AI/model provenance</t>
        </is>
      </c>
      <c r="D31" s="305" t="inlineStr">
        <is>
          <t>Feature 8</t>
        </is>
      </c>
      <c r="E31" s="305" t="inlineStr">
        <is>
          <t>Validation boundary: read traceable AI/model/dataset metadata</t>
        </is>
      </c>
      <c r="F31" s="305" t="inlineStr">
        <is>
          <t>Seeded authorized identity</t>
        </is>
      </c>
    </row>
    <row r="32">
      <c r="B32" s="305" t="n">
        <v>24</v>
      </c>
      <c r="C32" s="305" t="inlineStr">
        <is>
          <t>TC-FR08-03 — FR-08 AI/model provenance</t>
        </is>
      </c>
      <c r="D32" s="305" t="inlineStr">
        <is>
          <t>Feature 8</t>
        </is>
      </c>
      <c r="E32" s="305" t="inlineStr">
        <is>
          <t>Authorization boundary: report unavailable provider work as successful</t>
        </is>
      </c>
      <c r="F32" s="305" t="inlineStr">
        <is>
          <t>Seeded second organization and unauthorized identity</t>
        </is>
      </c>
    </row>
    <row r="33">
      <c r="B33" s="305" t="n">
        <v>25</v>
      </c>
      <c r="C33" s="305" t="inlineStr">
        <is>
          <t>TC-WF01-01 — Workflow Scenarios</t>
        </is>
      </c>
      <c r="D33" s="305" t="inlineStr">
        <is>
          <t>Workflow Scenarios</t>
        </is>
      </c>
      <c r="E33" s="305" t="inlineStr">
        <is>
          <t>WF-01 school administration and robot allocation</t>
        </is>
      </c>
      <c r="F33" s="305" t="inlineStr">
        <is>
          <t>Seeded school admin, classroom, entitlements</t>
        </is>
      </c>
    </row>
    <row r="34">
      <c r="B34" s="305" t="n">
        <v>26</v>
      </c>
      <c r="C34" s="305" t="inlineStr">
        <is>
          <t>TC-WF02-01 — Workflow Scenarios</t>
        </is>
      </c>
      <c r="D34" s="305" t="inlineStr">
        <is>
          <t>Workflow Scenarios</t>
        </is>
      </c>
      <c r="E34" s="305" t="inlineStr">
        <is>
          <t>WF-02 learning assignment and submission</t>
        </is>
      </c>
      <c r="F34" s="305" t="inlineStr">
        <is>
          <t>Seeded teacher, learner, classroom</t>
        </is>
      </c>
    </row>
    <row r="35">
      <c r="B35" s="305" t="n">
        <v>27</v>
      </c>
      <c r="C35" s="305" t="inlineStr">
        <is>
          <t>TC-WF03-01 — Workflow Scenarios</t>
        </is>
      </c>
      <c r="D35" s="305" t="inlineStr">
        <is>
          <t>Workflow Scenarios</t>
        </is>
      </c>
      <c r="E35" s="305" t="inlineStr">
        <is>
          <t>WF-03 experiment execution and evaluation</t>
        </is>
      </c>
      <c r="F35" s="305" t="inlineStr">
        <is>
          <t>Seeded eligible attempt and experiment</t>
        </is>
      </c>
    </row>
    <row r="36">
      <c r="B36" s="305" t="n">
        <v>28</v>
      </c>
      <c r="C36" s="305" t="inlineStr">
        <is>
          <t>TC-WF04-01 — Workflow Scenarios</t>
        </is>
      </c>
      <c r="D36" s="305" t="inlineStr">
        <is>
          <t>Workflow Scenarios</t>
        </is>
      </c>
      <c r="E36" s="305" t="inlineStr">
        <is>
          <t>WF-04 teacher review and AI/data evidence</t>
        </is>
      </c>
      <c r="F36" s="305" t="inlineStr">
        <is>
          <t>Seeded submitted work and authorized teacher</t>
        </is>
      </c>
    </row>
    <row r="37">
      <c r="B37" s="305" t="n">
        <v>29</v>
      </c>
      <c r="C37" s="305" t="inlineStr">
        <is>
          <t>ST-EXP-01 — State Transitions</t>
        </is>
      </c>
      <c r="D37" s="305" t="inlineStr">
        <is>
          <t>State Transitions</t>
        </is>
      </c>
      <c r="E37" s="305" t="inlineStr">
        <is>
          <t>Requested → Authorized</t>
        </is>
      </c>
      <c r="F37" s="305" t="inlineStr">
        <is>
          <t>Entity is in Requested state with a seeded authorized actor.</t>
        </is>
      </c>
    </row>
    <row r="38">
      <c r="B38" s="305" t="n">
        <v>30</v>
      </c>
      <c r="C38" s="305" t="inlineStr">
        <is>
          <t>ST-EXP-02 — State Transitions</t>
        </is>
      </c>
      <c r="D38" s="305" t="inlineStr">
        <is>
          <t>State Transitions</t>
        </is>
      </c>
      <c r="E38" s="305" t="inlineStr">
        <is>
          <t>Requested → Rejected</t>
        </is>
      </c>
      <c r="F38" s="305" t="inlineStr">
        <is>
          <t>Entity is in Requested state with a seeded authorized actor.</t>
        </is>
      </c>
    </row>
    <row r="39">
      <c r="B39" s="305" t="n">
        <v>31</v>
      </c>
      <c r="C39" s="305" t="inlineStr">
        <is>
          <t>ST-EXP-03 — State Transitions</t>
        </is>
      </c>
      <c r="D39" s="305" t="inlineStr">
        <is>
          <t>State Transitions</t>
        </is>
      </c>
      <c r="E39" s="305" t="inlineStr">
        <is>
          <t>Authorized → Queued</t>
        </is>
      </c>
      <c r="F39" s="305" t="inlineStr">
        <is>
          <t>Entity is in Authorized state with a seeded authorized actor.</t>
        </is>
      </c>
    </row>
    <row r="40">
      <c r="B40" s="305" t="n">
        <v>32</v>
      </c>
      <c r="C40" s="305" t="inlineStr">
        <is>
          <t>ST-EXP-04 — State Transitions</t>
        </is>
      </c>
      <c r="D40" s="305" t="inlineStr">
        <is>
          <t>State Transitions</t>
        </is>
      </c>
      <c r="E40" s="305" t="inlineStr">
        <is>
          <t>Queued → Running</t>
        </is>
      </c>
      <c r="F40" s="305" t="inlineStr">
        <is>
          <t>Entity is in Queued state with a seeded authorized actor.</t>
        </is>
      </c>
    </row>
    <row r="41">
      <c r="B41" s="305" t="n">
        <v>33</v>
      </c>
      <c r="C41" s="305" t="inlineStr">
        <is>
          <t>ST-EXP-05 — State Transitions</t>
        </is>
      </c>
      <c r="D41" s="305" t="inlineStr">
        <is>
          <t>State Transitions</t>
        </is>
      </c>
      <c r="E41" s="305" t="inlineStr">
        <is>
          <t>Queued → Cancelled</t>
        </is>
      </c>
      <c r="F41" s="305" t="inlineStr">
        <is>
          <t>Entity is in Queued state with a seeded authorized actor.</t>
        </is>
      </c>
    </row>
    <row r="42">
      <c r="B42" s="305" t="n">
        <v>34</v>
      </c>
      <c r="C42" s="305" t="inlineStr">
        <is>
          <t>ST-EXP-06 — State Transitions</t>
        </is>
      </c>
      <c r="D42" s="305" t="inlineStr">
        <is>
          <t>State Transitions</t>
        </is>
      </c>
      <c r="E42" s="305" t="inlineStr">
        <is>
          <t>Running → Completed</t>
        </is>
      </c>
      <c r="F42" s="305" t="inlineStr">
        <is>
          <t>Entity is in Running state with a seeded authorized actor.</t>
        </is>
      </c>
    </row>
    <row r="43">
      <c r="B43" s="305" t="n">
        <v>35</v>
      </c>
      <c r="C43" s="305" t="inlineStr">
        <is>
          <t>ST-EXP-07 — State Transitions</t>
        </is>
      </c>
      <c r="D43" s="305" t="inlineStr">
        <is>
          <t>State Transitions</t>
        </is>
      </c>
      <c r="E43" s="305" t="inlineStr">
        <is>
          <t>Running → Failed</t>
        </is>
      </c>
      <c r="F43" s="305" t="inlineStr">
        <is>
          <t>Entity is in Running state with a seeded authorized actor.</t>
        </is>
      </c>
    </row>
    <row r="44">
      <c r="B44" s="305" t="n">
        <v>36</v>
      </c>
      <c r="C44" s="305" t="inlineStr">
        <is>
          <t>ST-EXP-08 — State Transitions</t>
        </is>
      </c>
      <c r="D44" s="305" t="inlineStr">
        <is>
          <t>State Transitions</t>
        </is>
      </c>
      <c r="E44" s="305" t="inlineStr">
        <is>
          <t>Running → Cancelled</t>
        </is>
      </c>
      <c r="F44" s="305" t="inlineStr">
        <is>
          <t>Entity is in Running state with a seeded authorized actor.</t>
        </is>
      </c>
    </row>
    <row r="45">
      <c r="B45" s="305" t="n">
        <v>37</v>
      </c>
      <c r="C45" s="305" t="inlineStr">
        <is>
          <t>ST-EXP-09 — State Transitions</t>
        </is>
      </c>
      <c r="D45" s="305" t="inlineStr">
        <is>
          <t>State Transitions</t>
        </is>
      </c>
      <c r="E45" s="305" t="inlineStr">
        <is>
          <t>Completed → Archived</t>
        </is>
      </c>
      <c r="F45" s="305" t="inlineStr">
        <is>
          <t>Entity is in Completed state with a seeded authorized actor.</t>
        </is>
      </c>
    </row>
    <row r="46">
      <c r="B46" s="305" t="n">
        <v>38</v>
      </c>
      <c r="C46" s="305" t="inlineStr">
        <is>
          <t>ST-EXP-10 — State Transitions</t>
        </is>
      </c>
      <c r="D46" s="305" t="inlineStr">
        <is>
          <t>State Transitions</t>
        </is>
      </c>
      <c r="E46" s="305" t="inlineStr">
        <is>
          <t>Failed → Archived</t>
        </is>
      </c>
      <c r="F46" s="305" t="inlineStr">
        <is>
          <t>Entity is in Failed state with a seeded authorized actor.</t>
        </is>
      </c>
    </row>
    <row r="47">
      <c r="B47" s="305" t="n">
        <v>39</v>
      </c>
      <c r="C47" s="305" t="inlineStr">
        <is>
          <t>ST-EXP-11 — State Transitions</t>
        </is>
      </c>
      <c r="D47" s="305" t="inlineStr">
        <is>
          <t>State Transitions</t>
        </is>
      </c>
      <c r="E47" s="305" t="inlineStr">
        <is>
          <t>Cancelled → Archived</t>
        </is>
      </c>
      <c r="F47" s="305" t="inlineStr">
        <is>
          <t>Entity is in Cancelled state with a seeded authorized actor.</t>
        </is>
      </c>
    </row>
    <row r="48">
      <c r="B48" s="305" t="n">
        <v>40</v>
      </c>
      <c r="C48" s="305" t="inlineStr">
        <is>
          <t>ST-EXP-12 — State Transitions</t>
        </is>
      </c>
      <c r="D48" s="305" t="inlineStr">
        <is>
          <t>State Transitions</t>
        </is>
      </c>
      <c r="E48" s="305" t="inlineStr">
        <is>
          <t>Requested → Completed</t>
        </is>
      </c>
      <c r="F48" s="305" t="inlineStr">
        <is>
          <t>Entity is in Requested state with a seeded authorized actor.</t>
        </is>
      </c>
    </row>
    <row r="49">
      <c r="B49" s="305" t="n">
        <v>41</v>
      </c>
      <c r="C49" s="305" t="inlineStr">
        <is>
          <t>ST-EXP-13 — State Transitions</t>
        </is>
      </c>
      <c r="D49" s="305" t="inlineStr">
        <is>
          <t>State Transitions</t>
        </is>
      </c>
      <c r="E49" s="305" t="inlineStr">
        <is>
          <t>Archived → Running</t>
        </is>
      </c>
      <c r="F49" s="305" t="inlineStr">
        <is>
          <t>Entity is in Archived state with a seeded authorized actor.</t>
        </is>
      </c>
    </row>
    <row r="50">
      <c r="B50" s="305" t="n">
        <v>42</v>
      </c>
      <c r="C50" s="305" t="inlineStr">
        <is>
          <t>ST-RUN-01 — State Transitions</t>
        </is>
      </c>
      <c r="D50" s="305" t="inlineStr">
        <is>
          <t>State Transitions</t>
        </is>
      </c>
      <c r="E50" s="305" t="inlineStr">
        <is>
          <t>Idle → Ready Check</t>
        </is>
      </c>
      <c r="F50" s="305" t="inlineStr">
        <is>
          <t>Entity is in Idle state with a seeded authorized actor.</t>
        </is>
      </c>
    </row>
    <row r="51">
      <c r="B51" s="305" t="n">
        <v>43</v>
      </c>
      <c r="C51" s="305" t="inlineStr">
        <is>
          <t>ST-RUN-02 — State Transitions</t>
        </is>
      </c>
      <c r="D51" s="305" t="inlineStr">
        <is>
          <t>State Transitions</t>
        </is>
      </c>
      <c r="E51" s="305" t="inlineStr">
        <is>
          <t>Ready Check → Reserved</t>
        </is>
      </c>
      <c r="F51" s="305" t="inlineStr">
        <is>
          <t>Entity is in Ready Check state with a seeded authorized actor.</t>
        </is>
      </c>
    </row>
    <row r="52">
      <c r="B52" s="305" t="n">
        <v>44</v>
      </c>
      <c r="C52" s="305" t="inlineStr">
        <is>
          <t>ST-RUN-03 — State Transitions</t>
        </is>
      </c>
      <c r="D52" s="305" t="inlineStr">
        <is>
          <t>State Transitions</t>
        </is>
      </c>
      <c r="E52" s="305" t="inlineStr">
        <is>
          <t>Ready Check → Not Ready</t>
        </is>
      </c>
      <c r="F52" s="305" t="inlineStr">
        <is>
          <t>Entity is in Ready Check state with a seeded authorized actor.</t>
        </is>
      </c>
    </row>
    <row r="53">
      <c r="B53" s="305" t="n">
        <v>45</v>
      </c>
      <c r="C53" s="305" t="inlineStr">
        <is>
          <t>ST-RUN-04 — State Transitions</t>
        </is>
      </c>
      <c r="D53" s="305" t="inlineStr">
        <is>
          <t>State Transitions</t>
        </is>
      </c>
      <c r="E53" s="305" t="inlineStr">
        <is>
          <t>Reserved → Executing</t>
        </is>
      </c>
      <c r="F53" s="305" t="inlineStr">
        <is>
          <t>Entity is in Reserved state with a seeded authorized actor.</t>
        </is>
      </c>
    </row>
    <row r="54">
      <c r="B54" s="305" t="n">
        <v>46</v>
      </c>
      <c r="C54" s="305" t="inlineStr">
        <is>
          <t>ST-RUN-05 — State Transitions</t>
        </is>
      </c>
      <c r="D54" s="305" t="inlineStr">
        <is>
          <t>State Transitions</t>
        </is>
      </c>
      <c r="E54" s="305" t="inlineStr">
        <is>
          <t>Executing → Uploading Evidence</t>
        </is>
      </c>
      <c r="F54" s="305" t="inlineStr">
        <is>
          <t>Entity is in Executing state with a seeded authorized actor.</t>
        </is>
      </c>
    </row>
    <row r="55">
      <c r="B55" s="305" t="n">
        <v>47</v>
      </c>
      <c r="C55" s="305" t="inlineStr">
        <is>
          <t>ST-RUN-06 — State Transitions</t>
        </is>
      </c>
      <c r="D55" s="305" t="inlineStr">
        <is>
          <t>State Transitions</t>
        </is>
      </c>
      <c r="E55" s="305" t="inlineStr">
        <is>
          <t>Uploading Evidence → Completed</t>
        </is>
      </c>
      <c r="F55" s="305" t="inlineStr">
        <is>
          <t>Entity is in Uploading Evidence state with a seeded authorized actor.</t>
        </is>
      </c>
    </row>
    <row r="56">
      <c r="B56" s="305" t="n">
        <v>48</v>
      </c>
      <c r="C56" s="305" t="inlineStr">
        <is>
          <t>ST-RUN-07 — State Transitions</t>
        </is>
      </c>
      <c r="D56" s="305" t="inlineStr">
        <is>
          <t>State Transitions</t>
        </is>
      </c>
      <c r="E56" s="305" t="inlineStr">
        <is>
          <t>Executing → Stopped</t>
        </is>
      </c>
      <c r="F56" s="305" t="inlineStr">
        <is>
          <t>Entity is in Executing state with a seeded authorized actor.</t>
        </is>
      </c>
    </row>
    <row r="57">
      <c r="B57" s="305" t="n">
        <v>49</v>
      </c>
      <c r="C57" s="305" t="inlineStr">
        <is>
          <t>ST-RUN-08 — State Transitions</t>
        </is>
      </c>
      <c r="D57" s="305" t="inlineStr">
        <is>
          <t>State Transitions</t>
        </is>
      </c>
      <c r="E57" s="305" t="inlineStr">
        <is>
          <t>Executing → Failed</t>
        </is>
      </c>
      <c r="F57" s="305" t="inlineStr">
        <is>
          <t>Entity is in Executing state with a seeded authorized actor.</t>
        </is>
      </c>
    </row>
    <row r="58">
      <c r="B58" s="305" t="n">
        <v>50</v>
      </c>
      <c r="C58" s="305" t="inlineStr">
        <is>
          <t>ST-RUN-09 — State Transitions</t>
        </is>
      </c>
      <c r="D58" s="305" t="inlineStr">
        <is>
          <t>State Transitions</t>
        </is>
      </c>
      <c r="E58" s="305" t="inlineStr">
        <is>
          <t>Not Ready → Idle</t>
        </is>
      </c>
      <c r="F58" s="305" t="inlineStr">
        <is>
          <t>Entity is in Not Ready state with a seeded authorized actor.</t>
        </is>
      </c>
    </row>
    <row r="59">
      <c r="B59" s="305" t="n">
        <v>51</v>
      </c>
      <c r="C59" s="305" t="inlineStr">
        <is>
          <t>ST-RUN-10 — State Transitions</t>
        </is>
      </c>
      <c r="D59" s="305" t="inlineStr">
        <is>
          <t>State Transitions</t>
        </is>
      </c>
      <c r="E59" s="305" t="inlineStr">
        <is>
          <t>Stopped → Idle</t>
        </is>
      </c>
      <c r="F59" s="305" t="inlineStr">
        <is>
          <t>Entity is in Stopped state with a seeded authorized actor.</t>
        </is>
      </c>
    </row>
    <row r="60">
      <c r="B60" s="305" t="n">
        <v>52</v>
      </c>
      <c r="C60" s="305" t="inlineStr">
        <is>
          <t>ST-RUN-11 — State Transitions</t>
        </is>
      </c>
      <c r="D60" s="305" t="inlineStr">
        <is>
          <t>State Transitions</t>
        </is>
      </c>
      <c r="E60" s="305" t="inlineStr">
        <is>
          <t>Failed → Idle</t>
        </is>
      </c>
      <c r="F60" s="305" t="inlineStr">
        <is>
          <t>Entity is in Failed state with a seeded authorized actor.</t>
        </is>
      </c>
    </row>
    <row r="61">
      <c r="B61" s="305" t="n">
        <v>53</v>
      </c>
      <c r="C61" s="305" t="inlineStr">
        <is>
          <t>ST-RUN-12 — State Transitions</t>
        </is>
      </c>
      <c r="D61" s="305" t="inlineStr">
        <is>
          <t>State Transitions</t>
        </is>
      </c>
      <c r="E61" s="305" t="inlineStr">
        <is>
          <t>Completed → Idle</t>
        </is>
      </c>
      <c r="F61" s="305" t="inlineStr">
        <is>
          <t>Entity is in Completed state with a seeded authorized actor.</t>
        </is>
      </c>
    </row>
    <row r="62">
      <c r="B62" s="305" t="n">
        <v>54</v>
      </c>
      <c r="C62" s="305" t="inlineStr">
        <is>
          <t>ST-RUN-13 — State Transitions</t>
        </is>
      </c>
      <c r="D62" s="305" t="inlineStr">
        <is>
          <t>State Transitions</t>
        </is>
      </c>
      <c r="E62" s="305" t="inlineStr">
        <is>
          <t>Idle → Executing</t>
        </is>
      </c>
      <c r="F62" s="305" t="inlineStr">
        <is>
          <t>Entity is in Idle state with a seeded authorized actor.</t>
        </is>
      </c>
    </row>
    <row r="63">
      <c r="B63" s="305" t="n">
        <v>55</v>
      </c>
      <c r="C63" s="305" t="inlineStr">
        <is>
          <t>ST-RUN-14 — State Transitions</t>
        </is>
      </c>
      <c r="D63" s="305" t="inlineStr">
        <is>
          <t>State Transitions</t>
        </is>
      </c>
      <c r="E63" s="305" t="inlineStr">
        <is>
          <t>Completed → Executing</t>
        </is>
      </c>
      <c r="F63" s="305" t="inlineStr">
        <is>
          <t>Entity is in Completed state with a seeded authorized actor.</t>
        </is>
      </c>
    </row>
    <row r="64">
      <c r="B64" s="305" t="n">
        <v>56</v>
      </c>
      <c r="C64" s="305" t="inlineStr">
        <is>
          <t>ST-SUB-01 — State Transitions</t>
        </is>
      </c>
      <c r="D64" s="305" t="inlineStr">
        <is>
          <t>State Transitions</t>
        </is>
      </c>
      <c r="E64" s="305" t="inlineStr">
        <is>
          <t>Draft → In Progress</t>
        </is>
      </c>
      <c r="F64" s="305" t="inlineStr">
        <is>
          <t>Entity is in Draft state with a seeded authorized actor.</t>
        </is>
      </c>
    </row>
    <row r="65">
      <c r="B65" s="305" t="n">
        <v>57</v>
      </c>
      <c r="C65" s="305" t="inlineStr">
        <is>
          <t>ST-SUB-02 — State Transitions</t>
        </is>
      </c>
      <c r="D65" s="305" t="inlineStr">
        <is>
          <t>State Transitions</t>
        </is>
      </c>
      <c r="E65" s="305" t="inlineStr">
        <is>
          <t>In Progress → Submitted</t>
        </is>
      </c>
      <c r="F65" s="305" t="inlineStr">
        <is>
          <t>Entity is in In Progress state with a seeded authorized actor.</t>
        </is>
      </c>
    </row>
    <row r="66">
      <c r="B66" s="305" t="n">
        <v>58</v>
      </c>
      <c r="C66" s="305" t="inlineStr">
        <is>
          <t>ST-SUB-03 — State Transitions</t>
        </is>
      </c>
      <c r="D66" s="305" t="inlineStr">
        <is>
          <t>State Transitions</t>
        </is>
      </c>
      <c r="E66" s="305" t="inlineStr">
        <is>
          <t>Submitted → Under Review</t>
        </is>
      </c>
      <c r="F66" s="305" t="inlineStr">
        <is>
          <t>Entity is in Submitted state with a seeded authorized actor.</t>
        </is>
      </c>
    </row>
    <row r="67">
      <c r="B67" s="305" t="n">
        <v>59</v>
      </c>
      <c r="C67" s="305" t="inlineStr">
        <is>
          <t>ST-SUB-04 — State Transitions</t>
        </is>
      </c>
      <c r="D67" s="305" t="inlineStr">
        <is>
          <t>State Transitions</t>
        </is>
      </c>
      <c r="E67" s="305" t="inlineStr">
        <is>
          <t>Under Review → Accepted</t>
        </is>
      </c>
      <c r="F67" s="305" t="inlineStr">
        <is>
          <t>Entity is in Under Review state with a seeded authorized actor.</t>
        </is>
      </c>
    </row>
    <row r="68">
      <c r="B68" s="305" t="n">
        <v>60</v>
      </c>
      <c r="C68" s="305" t="inlineStr">
        <is>
          <t>ST-SUB-05 — State Transitions</t>
        </is>
      </c>
      <c r="D68" s="305" t="inlineStr">
        <is>
          <t>State Transitions</t>
        </is>
      </c>
      <c r="E68" s="305" t="inlineStr">
        <is>
          <t>Under Review → Returned</t>
        </is>
      </c>
      <c r="F68" s="305" t="inlineStr">
        <is>
          <t>Entity is in Under Review state with a seeded authorized actor.</t>
        </is>
      </c>
    </row>
    <row r="69">
      <c r="B69" s="305" t="n">
        <v>61</v>
      </c>
      <c r="C69" s="305" t="inlineStr">
        <is>
          <t>ST-SUB-06 — State Transitions</t>
        </is>
      </c>
      <c r="D69" s="305" t="inlineStr">
        <is>
          <t>State Transitions</t>
        </is>
      </c>
      <c r="E69" s="305" t="inlineStr">
        <is>
          <t>Under Review → Rejected</t>
        </is>
      </c>
      <c r="F69" s="305" t="inlineStr">
        <is>
          <t>Entity is in Under Review state with a seeded authorized actor.</t>
        </is>
      </c>
    </row>
    <row r="70">
      <c r="B70" s="305" t="n">
        <v>62</v>
      </c>
      <c r="C70" s="305" t="inlineStr">
        <is>
          <t>ST-SUB-07 — State Transitions</t>
        </is>
      </c>
      <c r="D70" s="305" t="inlineStr">
        <is>
          <t>State Transitions</t>
        </is>
      </c>
      <c r="E70" s="305" t="inlineStr">
        <is>
          <t>Accepted → Published Feedback</t>
        </is>
      </c>
      <c r="F70" s="305" t="inlineStr">
        <is>
          <t>Entity is in Accepted state with a seeded authorized actor.</t>
        </is>
      </c>
    </row>
    <row r="71">
      <c r="B71" s="305" t="n">
        <v>63</v>
      </c>
      <c r="C71" s="305" t="inlineStr">
        <is>
          <t>ST-SUB-08 — State Transitions</t>
        </is>
      </c>
      <c r="D71" s="305" t="inlineStr">
        <is>
          <t>State Transitions</t>
        </is>
      </c>
      <c r="E71" s="305" t="inlineStr">
        <is>
          <t>Returned → In Progress</t>
        </is>
      </c>
      <c r="F71" s="305" t="inlineStr">
        <is>
          <t>Entity is in Returned state with a seeded authorized actor.</t>
        </is>
      </c>
    </row>
    <row r="72">
      <c r="B72" s="305" t="n">
        <v>64</v>
      </c>
      <c r="C72" s="305" t="inlineStr">
        <is>
          <t>ST-SUB-09 — State Transitions</t>
        </is>
      </c>
      <c r="D72" s="305" t="inlineStr">
        <is>
          <t>State Transitions</t>
        </is>
      </c>
      <c r="E72" s="305" t="inlineStr">
        <is>
          <t>Rejected → Published Feedback</t>
        </is>
      </c>
      <c r="F72" s="305" t="inlineStr">
        <is>
          <t>Entity is in Rejected state with a seeded authorized actor.</t>
        </is>
      </c>
    </row>
    <row r="73">
      <c r="B73" s="305" t="n">
        <v>65</v>
      </c>
      <c r="C73" s="305" t="inlineStr">
        <is>
          <t>ST-SUB-10 — State Transitions</t>
        </is>
      </c>
      <c r="D73" s="305" t="inlineStr">
        <is>
          <t>State Transitions</t>
        </is>
      </c>
      <c r="E73" s="305" t="inlineStr">
        <is>
          <t>Draft → Accepted</t>
        </is>
      </c>
      <c r="F73" s="305" t="inlineStr">
        <is>
          <t>Entity is in Draft state with a seeded authorized actor.</t>
        </is>
      </c>
    </row>
    <row r="74">
      <c r="B74" s="305" t="n">
        <v>66</v>
      </c>
      <c r="C74" s="305" t="inlineStr">
        <is>
          <t>ST-SUB-11 — State Transitions</t>
        </is>
      </c>
      <c r="D74" s="305" t="inlineStr">
        <is>
          <t>State Transitions</t>
        </is>
      </c>
      <c r="E74" s="305" t="inlineStr">
        <is>
          <t>Published Feedback → In Progress</t>
        </is>
      </c>
      <c r="F74" s="305" t="inlineStr">
        <is>
          <t>Entity is in Published Feedback state with a seeded authorized actor.</t>
        </is>
      </c>
    </row>
    <row r="75">
      <c r="B75" s="305" t="n">
        <v>67</v>
      </c>
      <c r="C75" s="305" t="inlineStr">
        <is>
          <t>ST-ASG-01 — State Transitions</t>
        </is>
      </c>
      <c r="D75" s="305" t="inlineStr">
        <is>
          <t>State Transitions</t>
        </is>
      </c>
      <c r="E75" s="305" t="inlineStr">
        <is>
          <t>Draft → Scheduled</t>
        </is>
      </c>
      <c r="F75" s="305" t="inlineStr">
        <is>
          <t>Entity is in Draft state with a seeded authorized actor.</t>
        </is>
      </c>
    </row>
    <row r="76">
      <c r="B76" s="305" t="n">
        <v>68</v>
      </c>
      <c r="C76" s="305" t="inlineStr">
        <is>
          <t>ST-ASG-02 — State Transitions</t>
        </is>
      </c>
      <c r="D76" s="305" t="inlineStr">
        <is>
          <t>State Transitions</t>
        </is>
      </c>
      <c r="E76" s="305" t="inlineStr">
        <is>
          <t>Scheduled → Published</t>
        </is>
      </c>
      <c r="F76" s="305" t="inlineStr">
        <is>
          <t>Entity is in Scheduled state with a seeded authorized actor.</t>
        </is>
      </c>
    </row>
    <row r="77">
      <c r="B77" s="305" t="n">
        <v>69</v>
      </c>
      <c r="C77" s="305" t="inlineStr">
        <is>
          <t>ST-ASG-03 — State Transitions</t>
        </is>
      </c>
      <c r="D77" s="305" t="inlineStr">
        <is>
          <t>State Transitions</t>
        </is>
      </c>
      <c r="E77" s="305" t="inlineStr">
        <is>
          <t>Published → Open</t>
        </is>
      </c>
      <c r="F77" s="305" t="inlineStr">
        <is>
          <t>Entity is in Published state with a seeded authorized actor.</t>
        </is>
      </c>
    </row>
    <row r="78">
      <c r="B78" s="305" t="n">
        <v>70</v>
      </c>
      <c r="C78" s="305" t="inlineStr">
        <is>
          <t>ST-ASG-04 — State Transitions</t>
        </is>
      </c>
      <c r="D78" s="305" t="inlineStr">
        <is>
          <t>State Transitions</t>
        </is>
      </c>
      <c r="E78" s="305" t="inlineStr">
        <is>
          <t>Open → Closed</t>
        </is>
      </c>
      <c r="F78" s="305" t="inlineStr">
        <is>
          <t>Entity is in Open state with a seeded authorized actor.</t>
        </is>
      </c>
    </row>
    <row r="79">
      <c r="B79" s="305" t="n">
        <v>71</v>
      </c>
      <c r="C79" s="305" t="inlineStr">
        <is>
          <t>ST-ASG-05 — State Transitions</t>
        </is>
      </c>
      <c r="D79" s="305" t="inlineStr">
        <is>
          <t>State Transitions</t>
        </is>
      </c>
      <c r="E79" s="305" t="inlineStr">
        <is>
          <t>Closed → Archived</t>
        </is>
      </c>
      <c r="F79" s="305" t="inlineStr">
        <is>
          <t>Entity is in Closed state with a seeded authorized actor.</t>
        </is>
      </c>
    </row>
    <row r="80">
      <c r="B80" s="305" t="n">
        <v>72</v>
      </c>
      <c r="C80" s="305" t="inlineStr">
        <is>
          <t>ST-ASG-06 — State Transitions</t>
        </is>
      </c>
      <c r="D80" s="305" t="inlineStr">
        <is>
          <t>State Transitions</t>
        </is>
      </c>
      <c r="E80" s="305" t="inlineStr">
        <is>
          <t>Scheduled → Cancelled</t>
        </is>
      </c>
      <c r="F80" s="305" t="inlineStr">
        <is>
          <t>Entity is in Scheduled state with a seeded authorized actor.</t>
        </is>
      </c>
    </row>
    <row r="81">
      <c r="B81" s="305" t="n">
        <v>73</v>
      </c>
      <c r="C81" s="305" t="inlineStr">
        <is>
          <t>ST-ASG-07 — State Transitions</t>
        </is>
      </c>
      <c r="D81" s="305" t="inlineStr">
        <is>
          <t>State Transitions</t>
        </is>
      </c>
      <c r="E81" s="305" t="inlineStr">
        <is>
          <t>Published → Cancelled</t>
        </is>
      </c>
      <c r="F81" s="305" t="inlineStr">
        <is>
          <t>Entity is in Published state with a seeded authorized actor.</t>
        </is>
      </c>
    </row>
    <row r="82">
      <c r="B82" s="305" t="n">
        <v>74</v>
      </c>
      <c r="C82" s="305" t="inlineStr">
        <is>
          <t>ST-ASG-08 — State Transitions</t>
        </is>
      </c>
      <c r="D82" s="305" t="inlineStr">
        <is>
          <t>State Transitions</t>
        </is>
      </c>
      <c r="E82" s="305" t="inlineStr">
        <is>
          <t>Cancelled → Archived</t>
        </is>
      </c>
      <c r="F82" s="305" t="inlineStr">
        <is>
          <t>Entity is in Cancelled state with a seeded authorized actor.</t>
        </is>
      </c>
    </row>
    <row r="83">
      <c r="B83" s="305" t="n">
        <v>75</v>
      </c>
      <c r="C83" s="305" t="inlineStr">
        <is>
          <t>ST-ASG-09 — State Transitions</t>
        </is>
      </c>
      <c r="D83" s="305" t="inlineStr">
        <is>
          <t>State Transitions</t>
        </is>
      </c>
      <c r="E83" s="305" t="inlineStr">
        <is>
          <t>Draft → Open</t>
        </is>
      </c>
      <c r="F83" s="305" t="inlineStr">
        <is>
          <t>Entity is in Draft state with a seeded authorized actor.</t>
        </is>
      </c>
    </row>
    <row r="84">
      <c r="B84" s="305" t="n">
        <v>76</v>
      </c>
      <c r="C84" s="305" t="inlineStr">
        <is>
          <t>ST-ASG-10 — State Transitions</t>
        </is>
      </c>
      <c r="D84" s="305" t="inlineStr">
        <is>
          <t>State Transitions</t>
        </is>
      </c>
      <c r="E84" s="305" t="inlineStr">
        <is>
          <t>Archived → Published</t>
        </is>
      </c>
      <c r="F84" s="305" t="inlineStr">
        <is>
          <t>Entity is in Archived state with a seeded authorized actor.</t>
        </is>
      </c>
    </row>
    <row r="85">
      <c r="B85" s="305" t="n">
        <v>77</v>
      </c>
      <c r="C85" s="305" t="inlineStr">
        <is>
          <t>TC-NFR01-01 — NFR</t>
        </is>
      </c>
      <c r="D85" s="305" t="inlineStr">
        <is>
          <t>NFR</t>
        </is>
      </c>
      <c r="E85" s="305" t="inlineStr">
        <is>
          <t>Authorization isolation</t>
        </is>
      </c>
      <c r="F85" s="305" t="inlineStr">
        <is>
          <t>Two seeded organizations and all roles</t>
        </is>
      </c>
    </row>
    <row r="86">
      <c r="B86" s="305" t="n">
        <v>78</v>
      </c>
      <c r="C86" s="305" t="inlineStr">
        <is>
          <t>TC-NFR02-01 — NFR</t>
        </is>
      </c>
      <c r="D86" s="305" t="inlineStr">
        <is>
          <t>NFR</t>
        </is>
      </c>
      <c r="E86" s="305" t="inlineStr">
        <is>
          <t>Runtime safety/reliability</t>
        </is>
      </c>
      <c r="F86" s="305" t="inlineStr">
        <is>
          <t>Mock runtime; hardware test separately supervised</t>
        </is>
      </c>
    </row>
    <row r="87">
      <c r="B87" s="305" t="n">
        <v>79</v>
      </c>
      <c r="C87" s="305" t="inlineStr">
        <is>
          <t>TC-NFR03-01 — NFR</t>
        </is>
      </c>
      <c r="D87" s="305" t="inlineStr">
        <is>
          <t>NFR</t>
        </is>
      </c>
      <c r="E87" s="305" t="inlineStr">
        <is>
          <t>API responsiveness</t>
        </is>
      </c>
      <c r="F87" s="305" t="inlineStr">
        <is>
          <t>Declared staging configuration and dataset</t>
        </is>
      </c>
    </row>
    <row r="88">
      <c r="B88" s="305" t="n">
        <v>80</v>
      </c>
      <c r="C88" s="305" t="inlineStr">
        <is>
          <t>TC-NFR04-01 — NFR</t>
        </is>
      </c>
      <c r="D88" s="305" t="inlineStr">
        <is>
          <t>NFR</t>
        </is>
      </c>
      <c r="E88" s="305" t="inlineStr">
        <is>
          <t>Runtime acknowledgement</t>
        </is>
      </c>
      <c r="F88" s="305" t="inlineStr">
        <is>
          <t>Instrumented client/runtime</t>
        </is>
      </c>
    </row>
    <row r="89">
      <c r="B89" s="305" t="n">
        <v>81</v>
      </c>
      <c r="C89" s="305" t="inlineStr">
        <is>
          <t>TC-NFR05-01 — NFR</t>
        </is>
      </c>
      <c r="D89" s="305" t="inlineStr">
        <is>
          <t>NFR</t>
        </is>
      </c>
      <c r="E89" s="305" t="inlineStr">
        <is>
          <t>Execution traceability</t>
        </is>
      </c>
      <c r="F89" s="305" t="inlineStr">
        <is>
          <t>Seeded executions</t>
        </is>
      </c>
    </row>
    <row r="90">
      <c r="B90" s="305" t="n">
        <v>82</v>
      </c>
      <c r="C90" s="305" t="inlineStr">
        <is>
          <t>TC-NFR06-01 — NFR</t>
        </is>
      </c>
      <c r="D90" s="305" t="inlineStr">
        <is>
          <t>NFR</t>
        </is>
      </c>
      <c r="E90" s="305" t="inlineStr">
        <is>
          <t>Test automation</t>
        </is>
      </c>
      <c r="F90" s="305" t="inlineStr">
        <is>
          <t>Valid review-2 tag and CI logs</t>
        </is>
      </c>
    </row>
    <row r="91"/>
    <row r="92"/>
    <row r="93"/>
    <row r="94"/>
    <row r="95"/>
    <row r="96"/>
    <row r="97"/>
    <row r="98"/>
    <row r="99"/>
    <row r="100"/>
  </sheetData>
  <autoFilter ref="B8:F90"/>
  <mergeCells count="6">
    <mergeCell ref="D5:F5"/>
    <mergeCell ref="B3:C3"/>
    <mergeCell ref="B5:C5"/>
    <mergeCell ref="D4:F4"/>
    <mergeCell ref="D3:F3"/>
    <mergeCell ref="B4:C4"/>
  </mergeCells>
  <hyperlinks>
    <hyperlink ref="D9" location="Feature1!A1"/>
    <hyperlink ref="D10" location="Feature2!A1"/>
    <hyperlink ref="D11" location="Feature1!A1"/>
    <hyperlink ref="D12" location="Feature2!A1"/>
    <hyperlink ref="D13" location="Feature2!A1"/>
  </hyperlink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workbookViewId="0">
      <selection activeCell="A1" sqref="A1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306" t="inlineStr">
        <is>
          <t>TEST STATISTICS</t>
        </is>
      </c>
      <c r="C1" s="150" t="n"/>
      <c r="D1" s="150" t="n"/>
      <c r="E1" s="150" t="n"/>
      <c r="F1" s="150" t="n"/>
      <c r="G1" s="150" t="n"/>
      <c r="H1" s="150" t="n"/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244" t="inlineStr">
        <is>
          <t>VISTA</t>
        </is>
      </c>
      <c r="D3" s="297" t="n"/>
      <c r="E3" s="245" t="inlineStr">
        <is>
          <t>Creator</t>
        </is>
      </c>
      <c r="F3" s="297" t="n"/>
      <c r="G3" s="55" t="n"/>
      <c r="H3" s="56" t="n"/>
    </row>
    <row r="4" ht="12" customHeight="1">
      <c r="B4" s="2" t="inlineStr">
        <is>
          <t>Project Code</t>
        </is>
      </c>
      <c r="C4" s="244" t="inlineStr">
        <is>
          <t>FA26SE183</t>
        </is>
      </c>
      <c r="D4" s="297" t="n"/>
      <c r="E4" s="245" t="inlineStr">
        <is>
          <t>Reviewer/Approver</t>
        </is>
      </c>
      <c r="F4" s="297" t="n"/>
      <c r="G4" s="55" t="n"/>
      <c r="H4" s="56" t="n"/>
    </row>
    <row r="5" ht="12" customHeight="1">
      <c r="B5" s="57" t="inlineStr">
        <is>
          <t>Document Code</t>
        </is>
      </c>
      <c r="C5" s="244">
        <f>C4&amp;"_"&amp;"Test Report"&amp;"_"&amp;"vx.x"</f>
        <v/>
      </c>
      <c r="D5" s="297" t="n"/>
      <c r="E5" s="245" t="inlineStr">
        <is>
          <t>Issue Date</t>
        </is>
      </c>
      <c r="F5" s="297" t="n"/>
      <c r="G5" s="55" t="n"/>
      <c r="H5" s="58" t="inlineStr">
        <is>
          <t>26/10/2026</t>
        </is>
      </c>
    </row>
    <row r="6" ht="21.75" customHeight="1">
      <c r="A6" s="52" t="n"/>
      <c r="B6" s="57" t="inlineStr">
        <is>
          <t>Notes</t>
        </is>
      </c>
      <c r="C6" s="307" t="inlineStr">
        <is>
          <t>&lt;List modules included in this release&gt; ex: Release 1 includes 2 modules: Module1 and Module2</t>
        </is>
      </c>
      <c r="D6" s="296" t="n"/>
      <c r="E6" s="296" t="n"/>
      <c r="F6" s="296" t="n"/>
      <c r="G6" s="296" t="n"/>
      <c r="H6" s="297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 t="inlineStr">
        <is>
          <t>Feature 1</t>
        </is>
      </c>
      <c r="D11" s="71">
        <f>COUNTIF('Feature 1'!$F$12:$F$998,"Passed")</f>
        <v/>
      </c>
      <c r="E11" s="71">
        <f>COUNTIF('Feature 1'!$F$12:$F$998,"Failed")</f>
        <v/>
      </c>
      <c r="F11" s="71">
        <f>COUNTIF('Feature 1'!$F$12:$F$998,"Pending")</f>
        <v/>
      </c>
      <c r="G11" s="71">
        <f>COUNTIF('Feature 1'!$F$12:$F$998,"N/A")</f>
        <v/>
      </c>
      <c r="H11" s="73" t="n">
        <v>3</v>
      </c>
    </row>
    <row r="12">
      <c r="A12" s="68" t="n"/>
      <c r="B12" s="69" t="n">
        <v>2</v>
      </c>
      <c r="C12" s="70" t="inlineStr">
        <is>
          <t>Feature 2</t>
        </is>
      </c>
      <c r="D12" s="71">
        <f>COUNTIF('Feature 2'!$F$12:$F$998,"Passed")</f>
        <v/>
      </c>
      <c r="E12" s="71">
        <f>COUNTIF('Feature 2'!$F$12:$F$998,"Failed")</f>
        <v/>
      </c>
      <c r="F12" s="71">
        <f>COUNTIF('Feature 2'!$F$12:$F$998,"Pending")</f>
        <v/>
      </c>
      <c r="G12" s="71">
        <f>COUNTIF('Feature 2'!$F$12:$F$998,"N/A")</f>
        <v/>
      </c>
      <c r="H12" s="71" t="n">
        <v>3</v>
      </c>
    </row>
    <row r="13">
      <c r="A13" s="68" t="n"/>
      <c r="B13" s="69" t="n">
        <v>3</v>
      </c>
      <c r="C13" s="70" t="inlineStr">
        <is>
          <t>Feature 3</t>
        </is>
      </c>
      <c r="D13" s="71">
        <f>COUNTIF('Feature 3'!$F$12:$F$998,"Passed")</f>
        <v/>
      </c>
      <c r="E13" s="71">
        <f>COUNTIF('Feature 3'!$F$12:$F$998,"Failed")</f>
        <v/>
      </c>
      <c r="F13" s="71">
        <f>COUNTIF('Feature 3'!$F$12:$F$998,"Pending")</f>
        <v/>
      </c>
      <c r="G13" s="72">
        <f>COUNTIF('Feature 3'!$F$12:$F$998,"N/A")</f>
        <v/>
      </c>
      <c r="H13" s="73" t="n">
        <v>3</v>
      </c>
    </row>
    <row r="14">
      <c r="A14" s="68" t="n"/>
      <c r="B14" s="74" t="n">
        <v>4</v>
      </c>
      <c r="C14" s="75" t="inlineStr">
        <is>
          <t>Feature 4</t>
        </is>
      </c>
      <c r="D14" s="76">
        <f>COUNTIF('Feature 4'!$F$12:$F$998,"Passed")</f>
        <v/>
      </c>
      <c r="E14" s="76">
        <f>COUNTIF('Feature 4'!$F$12:$F$998,"Failed")</f>
        <v/>
      </c>
      <c r="F14" s="76">
        <f>COUNTIF('Feature 4'!$F$12:$F$998,"Pending")</f>
        <v/>
      </c>
      <c r="G14" s="76">
        <f>COUNTIF('Feature 4'!$F$12:$F$998,"N/A")</f>
        <v/>
      </c>
      <c r="H14" s="77" t="n">
        <v>3</v>
      </c>
    </row>
    <row r="15">
      <c r="A15" s="61" t="n"/>
      <c r="B15" s="78" t="n">
        <v>5</v>
      </c>
      <c r="C15" s="61" t="inlineStr">
        <is>
          <t>Feature 5</t>
        </is>
      </c>
      <c r="D15" s="79">
        <f>COUNTIF('Feature 5'!$F$12:$F$998,"Passed")</f>
        <v/>
      </c>
      <c r="E15" s="80">
        <f>COUNTIF('Feature 5'!$F$12:$F$998,"Failed")</f>
        <v/>
      </c>
      <c r="F15" s="80">
        <f>COUNTIF('Feature 5'!$F$12:$F$998,"Pending")</f>
        <v/>
      </c>
      <c r="G15" s="80">
        <f>COUNTIF('Feature 5'!$F$12:$F$998,"N/A")</f>
        <v/>
      </c>
      <c r="H15" s="80" t="n">
        <v>3</v>
      </c>
    </row>
    <row r="16">
      <c r="A16" s="61" t="n"/>
      <c r="B16" s="61" t="n">
        <v>6</v>
      </c>
      <c r="C16" s="81" t="inlineStr">
        <is>
          <t>Feature 6</t>
        </is>
      </c>
      <c r="D16" s="61">
        <f>COUNTIF('Feature 6'!$F$12:$F$998,"Passed")</f>
        <v/>
      </c>
      <c r="E16" s="82">
        <f>COUNTIF('Feature 6'!$F$12:$F$998,"Failed")</f>
        <v/>
      </c>
      <c r="F16" s="61">
        <f>COUNTIF('Feature 6'!$F$12:$F$998,"Pending")</f>
        <v/>
      </c>
      <c r="G16" s="61">
        <f>COUNTIF('Feature 6'!$F$12:$F$998,"N/A")</f>
        <v/>
      </c>
      <c r="H16" s="36" t="n">
        <v>3</v>
      </c>
    </row>
    <row r="17">
      <c r="A17" s="61" t="n"/>
      <c r="B17" s="61" t="n">
        <v>7</v>
      </c>
      <c r="C17" s="81" t="inlineStr">
        <is>
          <t>Feature 7</t>
        </is>
      </c>
      <c r="D17" s="61">
        <f>COUNTIF('Feature 7'!$F$12:$F$998,"Passed")</f>
        <v/>
      </c>
      <c r="E17" s="82">
        <f>COUNTIF('Feature 7'!$F$12:$F$998,"Failed")</f>
        <v/>
      </c>
      <c r="F17" s="61">
        <f>COUNTIF('Feature 7'!$F$12:$F$998,"Pending")</f>
        <v/>
      </c>
      <c r="G17" s="61">
        <f>COUNTIF('Feature 7'!$F$12:$F$998,"N/A")</f>
        <v/>
      </c>
      <c r="H17" s="36" t="n">
        <v>3</v>
      </c>
    </row>
    <row r="18">
      <c r="B18" t="n">
        <v>8</v>
      </c>
      <c r="C18" s="61" t="inlineStr">
        <is>
          <t>Feature 8</t>
        </is>
      </c>
      <c r="D18" s="61">
        <f>COUNTIF('Feature 8'!$F$12:$F$998,"Passed")</f>
        <v/>
      </c>
      <c r="E18">
        <f>COUNTIF('Feature 8'!$F$12:$F$998,"Failed")</f>
        <v/>
      </c>
      <c r="F18">
        <f>COUNTIF('Feature 8'!$F$12:$F$998,"Pending")</f>
        <v/>
      </c>
      <c r="G18">
        <f>COUNTIF('Feature 8'!$F$12:$F$998,"N/A")</f>
        <v/>
      </c>
      <c r="H18" t="n">
        <v>3</v>
      </c>
    </row>
    <row r="19">
      <c r="B19" t="n">
        <v>9</v>
      </c>
      <c r="C19" t="inlineStr">
        <is>
          <t>Workflow Scenarios</t>
        </is>
      </c>
      <c r="D19">
        <f>COUNTIF('Workflow Scenarios'!$F$12:$F$998,"Passed")</f>
        <v/>
      </c>
      <c r="E19">
        <f>COUNTIF('Workflow Scenarios'!$F$12:$F$998,"Failed")</f>
        <v/>
      </c>
      <c r="F19">
        <f>COUNTIF('Workflow Scenarios'!$F$12:$F$998,"Pending")</f>
        <v/>
      </c>
      <c r="G19">
        <f>COUNTIF('Workflow Scenarios'!$F$12:$F$998,"N/A")</f>
        <v/>
      </c>
      <c r="H19" t="n">
        <v>4</v>
      </c>
    </row>
    <row r="20">
      <c r="B20" t="n">
        <v>10</v>
      </c>
      <c r="C20" t="inlineStr">
        <is>
          <t>State Transitions</t>
        </is>
      </c>
      <c r="D20">
        <f>COUNTIF('State Transitions'!$F$12:$F$998,"Passed")</f>
        <v/>
      </c>
      <c r="E20">
        <f>COUNTIF('State Transitions'!$F$12:$F$998,"Failed")</f>
        <v/>
      </c>
      <c r="F20">
        <f>COUNTIF('State Transitions'!$F$12:$F$998,"Pending")</f>
        <v/>
      </c>
      <c r="G20">
        <f>COUNTIF('State Transitions'!$F$12:$F$998,"N/A")</f>
        <v/>
      </c>
      <c r="H20" t="n">
        <v>48</v>
      </c>
    </row>
    <row r="21">
      <c r="B21" t="n">
        <v>11</v>
      </c>
      <c r="C21" t="inlineStr">
        <is>
          <t>NFR</t>
        </is>
      </c>
      <c r="D21">
        <f>COUNTIF('NFR'!$F$12:$F$998,"Passed")</f>
        <v/>
      </c>
      <c r="E21">
        <f>COUNTIF('NFR'!$F$12:$F$998,"Failed")</f>
        <v/>
      </c>
      <c r="F21">
        <f>COUNTIF('NFR'!$F$12:$F$998,"Pending")</f>
        <v/>
      </c>
      <c r="G21">
        <f>COUNTIF('NFR'!$F$12:$F$998,"N/A")</f>
        <v/>
      </c>
      <c r="H21" t="n">
        <v>6</v>
      </c>
    </row>
    <row r="22">
      <c r="C22" t="inlineStr">
        <is>
          <t>Sub total</t>
        </is>
      </c>
      <c r="D22">
        <f>SUM(D11:D21)</f>
        <v/>
      </c>
      <c r="E22">
        <f>SUM(E11:E21)</f>
        <v/>
      </c>
      <c r="F22">
        <f>SUM(F11:F21)</f>
        <v/>
      </c>
      <c r="G22">
        <f>SUM(G11:G21)</f>
        <v/>
      </c>
      <c r="H22">
        <f>SUM(H11:H21)</f>
        <v/>
      </c>
    </row>
    <row r="23"/>
    <row r="24">
      <c r="C24" t="inlineStr">
        <is>
          <t>Planned inventory</t>
        </is>
      </c>
      <c r="E24">
        <f>H22</f>
        <v/>
      </c>
      <c r="F24" t="inlineStr">
        <is>
          <t>cases (expected 82)</t>
        </is>
      </c>
    </row>
    <row r="25">
      <c r="C25" t="inlineStr">
        <is>
          <t>Execution status</t>
        </is>
      </c>
      <c r="E25" t="inlineStr">
        <is>
          <t>PENDING — not evidence of execution</t>
        </is>
      </c>
    </row>
    <row r="26"/>
    <row r="27"/>
    <row r="28"/>
    <row r="29"/>
    <row r="30"/>
    <row r="31"/>
    <row r="32"/>
    <row r="33"/>
    <row r="34"/>
    <row r="35"/>
    <row r="36"/>
    <row r="37"/>
    <row r="38"/>
    <row r="39"/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" right="0.7" top="0.75" bottom="0.75" header="0.3" footer="0.3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FR-01 Role-governed access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access a role-scoped API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TC-FR01-01</t>
        </is>
      </c>
      <c r="B12" s="315" t="inlineStr">
        <is>
          <t>Happy path: access a role-scoped API</t>
        </is>
      </c>
      <c r="C12" s="315" t="inlineStr">
        <is>
          <t>Authenticate as all roles;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TC-FR01-02</t>
        </is>
      </c>
      <c r="B13" s="304" t="inlineStr">
        <is>
          <t>Validation boundary: access a role-scoped API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TC-FR01-03</t>
        </is>
      </c>
      <c r="B14" s="304" t="inlineStr">
        <is>
          <t>Authorization boundary: cross-role/cross-organization access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  <formula2>0</formula2>
    </dataValidation>
    <dataValidation sqref="F10 I10 L10" showDropDown="0" showInputMessage="0" showErrorMessage="1" allowBlank="1"/>
  </dataValidation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R18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FR-02 Classroom robot allocation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allocate an entitled robot to an owned classroom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COUNTIF($F10:$F996,B5)</f>
        <v/>
      </c>
      <c r="C6" s="92">
        <f>COUNTIF($F10:$F996,C5)</f>
        <v/>
      </c>
      <c r="D6" s="92">
        <f>COUNTIF($F10:$F996,D5)</f>
        <v/>
      </c>
      <c r="E6" s="98">
        <f>COUNTIF($F10:$F996,E5)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COUNTIF($F10:$F996,B5)</f>
        <v/>
      </c>
      <c r="C7" s="92">
        <f>COUNTIF($F10:$F996,C5)</f>
        <v/>
      </c>
      <c r="D7" s="92">
        <f>COUNTIF($F10:$F996,D5)</f>
        <v/>
      </c>
      <c r="E7" s="98">
        <f>COUNTIF($F10:$F996,E5)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COUNTIF($F10:$F996,B5)</f>
        <v/>
      </c>
      <c r="C8" s="96">
        <f>COUNTIF($F10:$F996,C5)</f>
        <v/>
      </c>
      <c r="D8" s="96">
        <f>COUNTIF($F10:$F996,D5)</f>
        <v/>
      </c>
      <c r="E8" s="97">
        <f>COUNTIF($F10:$F996,E5)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D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TC-FR02-01</t>
        </is>
      </c>
      <c r="B12" s="315" t="inlineStr">
        <is>
          <t>Happy path: allocate an entitled robot to an owned classroom</t>
        </is>
      </c>
      <c r="C12" s="315" t="inlineStr">
        <is>
          <t>Authenticate as school admin;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TC-FR02-02</t>
        </is>
      </c>
      <c r="B13" s="304" t="inlineStr">
        <is>
          <t>Validation boundary: allocate an entitled robot to an owned classroom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TC-FR02-03</t>
        </is>
      </c>
      <c r="B14" s="304" t="inlineStr">
        <is>
          <t>Authorization boundary: allocate an unentitled or foreign robot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>
      <c r="A18" s="61" t="n"/>
    </row>
  </sheetData>
  <mergeCells count="3">
    <mergeCell ref="B3:E3"/>
    <mergeCell ref="B2:E2"/>
    <mergeCell ref="B4:E4"/>
  </mergeCells>
  <dataValidations count="2">
    <dataValidation sqref="F10 I10 L10" showDropDown="0" showInputMessage="0" showErrorMessage="1" allowBlank="1"/>
    <dataValidation sqref="F12:F17 G2:G3 G9 G18:G145 I12:I17 J2:J3 J9 J18:J145 L12:L17 M2:M3 M9 M18:M145" showDropDown="0" showInputMessage="0" showErrorMessage="1" allowBlank="1" type="list">
      <formula1>$R$2:$R$5</formula1>
      <formula2>0</formula2>
    </dataValidation>
  </dataValidation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FR-03 Assignment publication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create and publish classroom work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TC-FR03-01</t>
        </is>
      </c>
      <c r="B12" s="315" t="inlineStr">
        <is>
          <t>Happy path: create and publish classroom work</t>
        </is>
      </c>
      <c r="C12" s="315" t="inlineStr">
        <is>
          <t>Authenticate as teacher;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TC-FR03-02</t>
        </is>
      </c>
      <c r="B13" s="304" t="inlineStr">
        <is>
          <t>Validation boundary: create and publish classroom work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TC-FR03-03</t>
        </is>
      </c>
      <c r="B14" s="304" t="inlineStr">
        <is>
          <t>Authorization boundary: publish into an unowned classroom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FR-04 Immutable program submission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submit an owned immutable program version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TC-FR04-01</t>
        </is>
      </c>
      <c r="B12" s="315" t="inlineStr">
        <is>
          <t>Happy path: submit an owned immutable program version</t>
        </is>
      </c>
      <c r="C12" s="315" t="inlineStr">
        <is>
          <t>Authenticate as student;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TC-FR04-02</t>
        </is>
      </c>
      <c r="B13" s="304" t="inlineStr">
        <is>
          <t>Validation boundary: submit an owned immutable program version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TC-FR04-03</t>
        </is>
      </c>
      <c r="B14" s="304" t="inlineStr">
        <is>
          <t>Authorization boundary: submit another learner's version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FR-05 Schematic experiment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run and persist a schematic experiment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TC-FR05-01</t>
        </is>
      </c>
      <c r="B12" s="315" t="inlineStr">
        <is>
          <t>Happy path: run and persist a schematic experiment</t>
        </is>
      </c>
      <c r="C12" s="315" t="inlineStr">
        <is>
          <t>Authenticate as student;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TC-FR05-02</t>
        </is>
      </c>
      <c r="B13" s="304" t="inlineStr">
        <is>
          <t>Validation boundary: run and persist a schematic experiment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TC-FR05-03</t>
        </is>
      </c>
      <c r="B14" s="304" t="inlineStr">
        <is>
          <t>Authorization boundary: run outside the learner scope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FR-06 Physical execution boundary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request an eligible bounded physical run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TC-FR06-01</t>
        </is>
      </c>
      <c r="B12" s="315" t="inlineStr">
        <is>
          <t>Happy path: request an eligible bounded physical run</t>
        </is>
      </c>
      <c r="C12" s="315" t="inlineStr">
        <is>
          <t>Authenticate as student/runtime;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TC-FR06-02</t>
        </is>
      </c>
      <c r="B13" s="304" t="inlineStr">
        <is>
          <t>Validation boundary: request an eligible bounded physical run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TC-FR06-03</t>
        </is>
      </c>
      <c r="B14" s="304" t="inlineStr">
        <is>
          <t>Authorization boundary: report success after unavailable/unsafe execution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FR-07 Assessment and feedback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assess work and publish/read scoped feedback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TC-FR07-01</t>
        </is>
      </c>
      <c r="B12" s="315" t="inlineStr">
        <is>
          <t>Happy path: assess work and publish/read scoped feedback</t>
        </is>
      </c>
      <c r="C12" s="315" t="inlineStr">
        <is>
          <t>Authenticate as teacher/student;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TC-FR07-02</t>
        </is>
      </c>
      <c r="B13" s="304" t="inlineStr">
        <is>
          <t>Validation boundary: assess work and publish/read scoped feedback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TC-FR07-03</t>
        </is>
      </c>
      <c r="B14" s="304" t="inlineStr">
        <is>
          <t>Authorization boundary: review or read a foreign submission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FR-08 AI/model provenance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read traceable AI/model/dataset metadata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TC-FR08-01</t>
        </is>
      </c>
      <c r="B12" s="315" t="inlineStr">
        <is>
          <t>Happy path: read traceable AI/model/dataset metadata</t>
        </is>
      </c>
      <c r="C12" s="315" t="inlineStr">
        <is>
          <t>Authenticate as student/teacher; prepare valid scoped data; perform the operation.</t>
        </is>
      </c>
      <c r="D12" s="315" t="inlineStr">
        <is>
          <t>Request succeeds and the intended record/state is persisted.</t>
        </is>
      </c>
      <c r="E12" s="315" t="inlineStr">
        <is>
          <t>Seeded authorized identity and valid domain data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Proposed; not executed</t>
        </is>
      </c>
      <c r="Q12" s="46" t="n"/>
    </row>
    <row r="13" ht="54" customHeight="1">
      <c r="A13" s="314" t="inlineStr">
        <is>
          <t>TC-FR08-02</t>
        </is>
      </c>
      <c r="B13" s="304" t="inlineStr">
        <is>
          <t>Validation boundary: read traceable AI/model/dataset metadata</t>
        </is>
      </c>
      <c r="C13" s="304" t="inlineStr">
        <is>
          <t>Submit a required field missing or an invalid state/value.</t>
        </is>
      </c>
      <c r="D13" s="316" t="inlineStr">
        <is>
          <t>Request is rejected with a deterministic validation/domain error; no partial write.</t>
        </is>
      </c>
      <c r="E13" s="316" t="inlineStr">
        <is>
          <t>Seeded authorized identity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Proposed; not executed</t>
        </is>
      </c>
      <c r="Q13" s="46" t="n"/>
    </row>
    <row r="14" ht="54" customHeight="1">
      <c r="A14" s="314" t="inlineStr">
        <is>
          <t>TC-FR08-03</t>
        </is>
      </c>
      <c r="B14" s="304" t="inlineStr">
        <is>
          <t>Authorization boundary: report unavailable provider work as successful</t>
        </is>
      </c>
      <c r="C14" s="304" t="inlineStr">
        <is>
          <t>Use a different role, learner, classroom, or organization against the same operation.</t>
        </is>
      </c>
      <c r="D14" s="316" t="inlineStr">
        <is>
          <t>Request is denied without leaking or changing out-of-scope data.</t>
        </is>
      </c>
      <c r="E14" s="316" t="inlineStr">
        <is>
          <t>Seeded second organization and unauthorized identity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Proposed; not executed</t>
        </is>
      </c>
      <c r="Q14" s="46" t="n"/>
    </row>
    <row r="15" ht="15.75" customFormat="1" customHeight="1" s="32">
      <c r="A15" s="86" t="n"/>
      <c r="B15" s="38" t="n"/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40" t="n"/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Workflow Scenarios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Four mandatory main workflow scenarios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TC-WF01-01</t>
        </is>
      </c>
      <c r="B12" s="315" t="inlineStr">
        <is>
          <t>WF-01 school administration and robot allocation</t>
        </is>
      </c>
      <c r="C12" s="315" t="inlineStr">
        <is>
          <t>Open owned classroom; select eligible robot; replace allocation.</t>
        </is>
      </c>
      <c r="D12" s="315" t="inlineStr">
        <is>
          <t>Exactly one visible scoped allocation is persisted.</t>
        </is>
      </c>
      <c r="E12" s="315" t="inlineStr">
        <is>
          <t>Seeded school admin, classroom, entitlements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Main workflow</t>
        </is>
      </c>
      <c r="Q12" s="46" t="n"/>
    </row>
    <row r="13" ht="54" customHeight="1">
      <c r="A13" s="314" t="inlineStr">
        <is>
          <t>TC-WF02-01</t>
        </is>
      </c>
      <c r="B13" s="304" t="inlineStr">
        <is>
          <t>WF-02 learning assignment and submission</t>
        </is>
      </c>
      <c r="C13" s="304" t="inlineStr">
        <is>
          <t>Teacher publishes work; learner starts attempt and submits owned program version.</t>
        </is>
      </c>
      <c r="D13" s="316" t="inlineStr">
        <is>
          <t>Published assignment and immutable submission are traceable.</t>
        </is>
      </c>
      <c r="E13" s="316" t="inlineStr">
        <is>
          <t>Seeded teacher, learner, classroom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Main workflow</t>
        </is>
      </c>
      <c r="Q13" s="46" t="n"/>
    </row>
    <row r="14" ht="54" customHeight="1">
      <c r="A14" s="314" t="inlineStr">
        <is>
          <t>TC-WF03-01</t>
        </is>
      </c>
      <c r="B14" s="304" t="inlineStr">
        <is>
          <t>WF-03 experiment execution and evaluation</t>
        </is>
      </c>
      <c r="C14" s="304" t="inlineStr">
        <is>
          <t>Create schematic experiment; run; evaluate; retrieve result/evidence.</t>
        </is>
      </c>
      <c r="D14" s="316" t="inlineStr">
        <is>
          <t>Truthful terminal state, result, and evidence are persisted.</t>
        </is>
      </c>
      <c r="E14" s="316" t="inlineStr">
        <is>
          <t>Seeded eligible attempt and experiment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Main workflow; physical E2E remains blocked</t>
        </is>
      </c>
      <c r="Q14" s="46" t="n"/>
    </row>
    <row r="15" ht="15.75" customFormat="1" customHeight="1" s="32">
      <c r="A15" s="317" t="inlineStr">
        <is>
          <t>TC-WF04-01</t>
        </is>
      </c>
      <c r="B15" s="317" t="inlineStr">
        <is>
          <t>WF-04 teacher review and AI/data evidence</t>
        </is>
      </c>
      <c r="C15" s="317" t="inlineStr">
        <is>
          <t>Teacher assesses; publishes feedback; learner reads and reflects.</t>
        </is>
      </c>
      <c r="D15" s="317" t="inlineStr">
        <is>
          <t>Assessment, feedback and reflection remain scoped and traceable.</t>
        </is>
      </c>
      <c r="E15" s="317" t="inlineStr">
        <is>
          <t>Seeded submitted work and authorized teacher</t>
        </is>
      </c>
      <c r="F15" s="317" t="inlineStr">
        <is>
          <t>Pending</t>
        </is>
      </c>
      <c r="G15" s="317" t="n"/>
      <c r="H15" s="317" t="n"/>
      <c r="I15" s="317" t="inlineStr">
        <is>
          <t>Pending</t>
        </is>
      </c>
      <c r="J15" s="317" t="n"/>
      <c r="K15" s="317" t="n"/>
      <c r="L15" s="317" t="inlineStr">
        <is>
          <t>Pending</t>
        </is>
      </c>
      <c r="M15" s="317" t="n"/>
      <c r="N15" s="317" t="n"/>
      <c r="O15" s="317" t="inlineStr">
        <is>
          <t>Main workflow</t>
        </is>
      </c>
      <c r="Q15" s="41" t="n"/>
    </row>
    <row r="16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291" t="n"/>
      <c r="Q16" s="46" t="n"/>
    </row>
    <row r="17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2:R5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State Transitions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40 valid and 8 invalid state-transition tests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ST-EXP-01</t>
        </is>
      </c>
      <c r="B12" s="315" t="inlineStr">
        <is>
          <t>Requested → Authorized</t>
        </is>
      </c>
      <c r="C12" s="315" t="inlineStr">
        <is>
          <t>Attempt transition Requested → Authorized.</t>
        </is>
      </c>
      <c r="D12" s="315" t="inlineStr">
        <is>
          <t>Allowed when scope and permission pass</t>
        </is>
      </c>
      <c r="E12" s="315" t="inlineStr">
        <is>
          <t>Entity is in Requested state with a seeded authorized actor.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Valid transition</t>
        </is>
      </c>
      <c r="Q12" s="46" t="n"/>
    </row>
    <row r="13" ht="54" customHeight="1">
      <c r="A13" s="314" t="inlineStr">
        <is>
          <t>ST-EXP-02</t>
        </is>
      </c>
      <c r="B13" s="304" t="inlineStr">
        <is>
          <t>Requested → Rejected</t>
        </is>
      </c>
      <c r="C13" s="304" t="inlineStr">
        <is>
          <t>Attempt transition Requested → Rejected.</t>
        </is>
      </c>
      <c r="D13" s="316" t="inlineStr">
        <is>
          <t>Allowed when scope or permission fails</t>
        </is>
      </c>
      <c r="E13" s="316" t="inlineStr">
        <is>
          <t>Entity is in Requested state with a seeded authorized actor.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Valid transition</t>
        </is>
      </c>
      <c r="Q13" s="46" t="n"/>
    </row>
    <row r="14" ht="54" customHeight="1">
      <c r="A14" s="314" t="inlineStr">
        <is>
          <t>ST-EXP-03</t>
        </is>
      </c>
      <c r="B14" s="304" t="inlineStr">
        <is>
          <t>Authorized → Queued</t>
        </is>
      </c>
      <c r="C14" s="304" t="inlineStr">
        <is>
          <t>Attempt transition Authorized → Queued.</t>
        </is>
      </c>
      <c r="D14" s="316" t="inlineStr">
        <is>
          <t>Allowed after resource allocation</t>
        </is>
      </c>
      <c r="E14" s="316" t="inlineStr">
        <is>
          <t>Entity is in Authorized state with a seeded authorized actor.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Valid transition</t>
        </is>
      </c>
      <c r="Q14" s="46" t="n"/>
    </row>
    <row r="15" ht="15.75" customFormat="1" customHeight="1" s="32">
      <c r="A15" s="317" t="inlineStr">
        <is>
          <t>ST-EXP-04</t>
        </is>
      </c>
      <c r="B15" s="317" t="inlineStr">
        <is>
          <t>Queued → Running</t>
        </is>
      </c>
      <c r="C15" s="317" t="inlineStr">
        <is>
          <t>Attempt transition Queued → Running.</t>
        </is>
      </c>
      <c r="D15" s="317" t="inlineStr">
        <is>
          <t>Allowed when runtime is available</t>
        </is>
      </c>
      <c r="E15" s="317" t="inlineStr">
        <is>
          <t>Entity is in Queued state with a seeded authorized actor.</t>
        </is>
      </c>
      <c r="F15" s="317" t="inlineStr">
        <is>
          <t>Pending</t>
        </is>
      </c>
      <c r="G15" s="317" t="n"/>
      <c r="H15" s="317" t="n"/>
      <c r="I15" s="317" t="inlineStr">
        <is>
          <t>Pending</t>
        </is>
      </c>
      <c r="J15" s="317" t="n"/>
      <c r="K15" s="317" t="n"/>
      <c r="L15" s="317" t="inlineStr">
        <is>
          <t>Pending</t>
        </is>
      </c>
      <c r="M15" s="317" t="n"/>
      <c r="N15" s="317" t="n"/>
      <c r="O15" s="317" t="inlineStr">
        <is>
          <t>Valid transition</t>
        </is>
      </c>
      <c r="Q15" s="41" t="n"/>
    </row>
    <row r="16" ht="14" customHeight="1">
      <c r="A16" s="314" t="inlineStr">
        <is>
          <t>ST-EXP-05</t>
        </is>
      </c>
      <c r="B16" s="314" t="inlineStr">
        <is>
          <t>Queued → Cancelled</t>
        </is>
      </c>
      <c r="C16" s="314" t="inlineStr">
        <is>
          <t>Attempt transition Queued → Cancelled.</t>
        </is>
      </c>
      <c r="D16" s="314" t="inlineStr">
        <is>
          <t>Allowed before run</t>
        </is>
      </c>
      <c r="E16" s="314" t="inlineStr">
        <is>
          <t>Entity is in Queued state with a seeded authorized actor.</t>
        </is>
      </c>
      <c r="F16" s="314" t="inlineStr">
        <is>
          <t>Pending</t>
        </is>
      </c>
      <c r="G16" s="314" t="n"/>
      <c r="H16" s="314" t="n"/>
      <c r="I16" s="314" t="inlineStr">
        <is>
          <t>Pending</t>
        </is>
      </c>
      <c r="J16" s="314" t="n"/>
      <c r="K16" s="314" t="n"/>
      <c r="L16" s="314" t="inlineStr">
        <is>
          <t>Pending</t>
        </is>
      </c>
      <c r="M16" s="314" t="n"/>
      <c r="N16" s="314" t="n"/>
      <c r="O16" s="304" t="inlineStr">
        <is>
          <t>Valid transition</t>
        </is>
      </c>
      <c r="Q16" s="46" t="n"/>
    </row>
    <row r="17" ht="14" customHeight="1">
      <c r="A17" s="314" t="inlineStr">
        <is>
          <t>ST-EXP-06</t>
        </is>
      </c>
      <c r="B17" s="314" t="inlineStr">
        <is>
          <t>Running → Completed</t>
        </is>
      </c>
      <c r="C17" s="314" t="inlineStr">
        <is>
          <t>Attempt transition Running → Completed.</t>
        </is>
      </c>
      <c r="D17" s="314" t="inlineStr">
        <is>
          <t>Allowed on successful terminal result</t>
        </is>
      </c>
      <c r="E17" s="314" t="inlineStr">
        <is>
          <t>Entity is in Running state with a seeded authorized actor.</t>
        </is>
      </c>
      <c r="F17" s="314" t="inlineStr">
        <is>
          <t>Pending</t>
        </is>
      </c>
      <c r="G17" s="304" t="n"/>
      <c r="H17" s="304" t="n"/>
      <c r="I17" s="314" t="inlineStr">
        <is>
          <t>Pending</t>
        </is>
      </c>
      <c r="J17" s="304" t="n"/>
      <c r="K17" s="304" t="n"/>
      <c r="L17" s="314" t="inlineStr">
        <is>
          <t>Pending</t>
        </is>
      </c>
      <c r="M17" s="304" t="n"/>
      <c r="N17" s="304" t="n"/>
      <c r="O17" s="304" t="inlineStr">
        <is>
          <t>Valid transition</t>
        </is>
      </c>
      <c r="Q17" s="51" t="n"/>
    </row>
    <row r="18" ht="15.75" customFormat="1" customHeight="1" s="32">
      <c r="A18" s="317" t="inlineStr">
        <is>
          <t>ST-EXP-07</t>
        </is>
      </c>
      <c r="B18" s="317" t="inlineStr">
        <is>
          <t>Running → Failed</t>
        </is>
      </c>
      <c r="C18" s="317" t="inlineStr">
        <is>
          <t>Attempt transition Running → Failed.</t>
        </is>
      </c>
      <c r="D18" s="317" t="inlineStr">
        <is>
          <t>Allowed on runtime error</t>
        </is>
      </c>
      <c r="E18" s="317" t="inlineStr">
        <is>
          <t>Entity is in Running state with a seeded authorized actor.</t>
        </is>
      </c>
      <c r="F18" s="317" t="inlineStr">
        <is>
          <t>Pending</t>
        </is>
      </c>
      <c r="G18" s="317" t="n"/>
      <c r="H18" s="317" t="n"/>
      <c r="I18" s="317" t="inlineStr">
        <is>
          <t>Pending</t>
        </is>
      </c>
      <c r="J18" s="317" t="n"/>
      <c r="K18" s="317" t="n"/>
      <c r="L18" s="317" t="inlineStr">
        <is>
          <t>Pending</t>
        </is>
      </c>
      <c r="M18" s="317" t="n"/>
      <c r="N18" s="317" t="n"/>
      <c r="O18" s="317" t="inlineStr">
        <is>
          <t>Valid transition</t>
        </is>
      </c>
      <c r="Q18" s="41" t="n"/>
    </row>
    <row r="19" ht="14" customHeight="1">
      <c r="A19" s="314" t="inlineStr">
        <is>
          <t>ST-EXP-08</t>
        </is>
      </c>
      <c r="B19" s="314" t="inlineStr">
        <is>
          <t>Running → Cancelled</t>
        </is>
      </c>
      <c r="C19" s="314" t="inlineStr">
        <is>
          <t>Attempt transition Running → Cancelled.</t>
        </is>
      </c>
      <c r="D19" s="314" t="inlineStr">
        <is>
          <t>Allowed on stop or timeout</t>
        </is>
      </c>
      <c r="E19" s="314" t="inlineStr">
        <is>
          <t>Entity is in Running state with a seeded authorized actor.</t>
        </is>
      </c>
      <c r="F19" s="314" t="inlineStr">
        <is>
          <t>Pending</t>
        </is>
      </c>
      <c r="G19" s="314" t="n"/>
      <c r="H19" s="314" t="n"/>
      <c r="I19" s="314" t="inlineStr">
        <is>
          <t>Pending</t>
        </is>
      </c>
      <c r="J19" s="314" t="n"/>
      <c r="K19" s="314" t="n"/>
      <c r="L19" s="314" t="inlineStr">
        <is>
          <t>Pending</t>
        </is>
      </c>
      <c r="M19" s="314" t="n"/>
      <c r="N19" s="314" t="n"/>
      <c r="O19" s="304" t="inlineStr">
        <is>
          <t>Valid transition</t>
        </is>
      </c>
      <c r="Q19" s="46" t="n"/>
    </row>
    <row r="20">
      <c r="A20" s="305" t="inlineStr">
        <is>
          <t>ST-EXP-09</t>
        </is>
      </c>
      <c r="B20" s="305" t="inlineStr">
        <is>
          <t>Completed → Archived</t>
        </is>
      </c>
      <c r="C20" s="305" t="inlineStr">
        <is>
          <t>Attempt transition Completed → Archived.</t>
        </is>
      </c>
      <c r="D20" s="305" t="inlineStr">
        <is>
          <t>Allowed by retention/close action</t>
        </is>
      </c>
      <c r="E20" s="305" t="inlineStr">
        <is>
          <t>Entity is in Completed state with a seeded authorized actor.</t>
        </is>
      </c>
      <c r="F20" s="305" t="inlineStr">
        <is>
          <t>Pending</t>
        </is>
      </c>
      <c r="G20" s="305" t="n"/>
      <c r="H20" s="305" t="n"/>
      <c r="I20" s="305" t="inlineStr">
        <is>
          <t>Pending</t>
        </is>
      </c>
      <c r="J20" s="305" t="n"/>
      <c r="K20" s="305" t="n"/>
      <c r="L20" s="305" t="inlineStr">
        <is>
          <t>Pending</t>
        </is>
      </c>
      <c r="M20" s="305" t="n"/>
      <c r="N20" s="305" t="n"/>
      <c r="O20" s="305" t="inlineStr">
        <is>
          <t>Valid transition</t>
        </is>
      </c>
    </row>
    <row r="21">
      <c r="A21" s="305" t="inlineStr">
        <is>
          <t>ST-EXP-10</t>
        </is>
      </c>
      <c r="B21" s="305" t="inlineStr">
        <is>
          <t>Failed → Archived</t>
        </is>
      </c>
      <c r="C21" s="305" t="inlineStr">
        <is>
          <t>Attempt transition Failed → Archived.</t>
        </is>
      </c>
      <c r="D21" s="305" t="inlineStr">
        <is>
          <t>Allowed after outcome recording</t>
        </is>
      </c>
      <c r="E21" s="305" t="inlineStr">
        <is>
          <t>Entity is in Failed state with a seeded authorized actor.</t>
        </is>
      </c>
      <c r="F21" s="305" t="inlineStr">
        <is>
          <t>Pending</t>
        </is>
      </c>
      <c r="G21" s="305" t="n"/>
      <c r="H21" s="305" t="n"/>
      <c r="I21" s="305" t="inlineStr">
        <is>
          <t>Pending</t>
        </is>
      </c>
      <c r="J21" s="305" t="n"/>
      <c r="K21" s="305" t="n"/>
      <c r="L21" s="305" t="inlineStr">
        <is>
          <t>Pending</t>
        </is>
      </c>
      <c r="M21" s="305" t="n"/>
      <c r="N21" s="305" t="n"/>
      <c r="O21" s="305" t="inlineStr">
        <is>
          <t>Valid transition</t>
        </is>
      </c>
    </row>
    <row r="22">
      <c r="A22" s="305" t="inlineStr">
        <is>
          <t>ST-EXP-11</t>
        </is>
      </c>
      <c r="B22" s="305" t="inlineStr">
        <is>
          <t>Cancelled → Archived</t>
        </is>
      </c>
      <c r="C22" s="305" t="inlineStr">
        <is>
          <t>Attempt transition Cancelled → Archived.</t>
        </is>
      </c>
      <c r="D22" s="305" t="inlineStr">
        <is>
          <t>Allowed after outcome recording</t>
        </is>
      </c>
      <c r="E22" s="305" t="inlineStr">
        <is>
          <t>Entity is in Cancelled state with a seeded authorized actor.</t>
        </is>
      </c>
      <c r="F22" s="305" t="inlineStr">
        <is>
          <t>Pending</t>
        </is>
      </c>
      <c r="G22" s="305" t="n"/>
      <c r="H22" s="305" t="n"/>
      <c r="I22" s="305" t="inlineStr">
        <is>
          <t>Pending</t>
        </is>
      </c>
      <c r="J22" s="305" t="n"/>
      <c r="K22" s="305" t="n"/>
      <c r="L22" s="305" t="inlineStr">
        <is>
          <t>Pending</t>
        </is>
      </c>
      <c r="M22" s="305" t="n"/>
      <c r="N22" s="305" t="n"/>
      <c r="O22" s="305" t="inlineStr">
        <is>
          <t>Valid transition</t>
        </is>
      </c>
    </row>
    <row r="23">
      <c r="A23" s="305" t="inlineStr">
        <is>
          <t>ST-EXP-12</t>
        </is>
      </c>
      <c r="B23" s="305" t="inlineStr">
        <is>
          <t>Requested → Completed</t>
        </is>
      </c>
      <c r="C23" s="305" t="inlineStr">
        <is>
          <t>Attempt transition Requested → Completed.</t>
        </is>
      </c>
      <c r="D23" s="305" t="inlineStr">
        <is>
          <t>Rejected because authorization/execution were skipped</t>
        </is>
      </c>
      <c r="E23" s="305" t="inlineStr">
        <is>
          <t>Entity is in Requested state with a seeded authorized actor.</t>
        </is>
      </c>
      <c r="F23" s="305" t="inlineStr">
        <is>
          <t>Pending</t>
        </is>
      </c>
      <c r="G23" s="305" t="n"/>
      <c r="H23" s="305" t="n"/>
      <c r="I23" s="305" t="inlineStr">
        <is>
          <t>Pending</t>
        </is>
      </c>
      <c r="J23" s="305" t="n"/>
      <c r="K23" s="305" t="n"/>
      <c r="L23" s="305" t="inlineStr">
        <is>
          <t>Pending</t>
        </is>
      </c>
      <c r="M23" s="305" t="n"/>
      <c r="N23" s="305" t="n"/>
      <c r="O23" s="305" t="inlineStr">
        <is>
          <t>Invalid transition; rejection required</t>
        </is>
      </c>
    </row>
    <row r="24">
      <c r="A24" s="305" t="inlineStr">
        <is>
          <t>ST-EXP-13</t>
        </is>
      </c>
      <c r="B24" s="305" t="inlineStr">
        <is>
          <t>Archived → Running</t>
        </is>
      </c>
      <c r="C24" s="305" t="inlineStr">
        <is>
          <t>Attempt transition Archived → Running.</t>
        </is>
      </c>
      <c r="D24" s="305" t="inlineStr">
        <is>
          <t>Rejected because archived is terminal</t>
        </is>
      </c>
      <c r="E24" s="305" t="inlineStr">
        <is>
          <t>Entity is in Archived state with a seeded authorized actor.</t>
        </is>
      </c>
      <c r="F24" s="305" t="inlineStr">
        <is>
          <t>Pending</t>
        </is>
      </c>
      <c r="G24" s="305" t="n"/>
      <c r="H24" s="305" t="n"/>
      <c r="I24" s="305" t="inlineStr">
        <is>
          <t>Pending</t>
        </is>
      </c>
      <c r="J24" s="305" t="n"/>
      <c r="K24" s="305" t="n"/>
      <c r="L24" s="305" t="inlineStr">
        <is>
          <t>Pending</t>
        </is>
      </c>
      <c r="M24" s="305" t="n"/>
      <c r="N24" s="305" t="n"/>
      <c r="O24" s="305" t="inlineStr">
        <is>
          <t>Invalid transition; rejection required</t>
        </is>
      </c>
    </row>
    <row r="25">
      <c r="A25" s="305" t="inlineStr">
        <is>
          <t>ST-RUN-01</t>
        </is>
      </c>
      <c r="B25" s="305" t="inlineStr">
        <is>
          <t>Idle → Ready Check</t>
        </is>
      </c>
      <c r="C25" s="305" t="inlineStr">
        <is>
          <t>Attempt transition Idle → Ready Check.</t>
        </is>
      </c>
      <c r="D25" s="305" t="inlineStr">
        <is>
          <t>Allowed on run command</t>
        </is>
      </c>
      <c r="E25" s="305" t="inlineStr">
        <is>
          <t>Entity is in Idle state with a seeded authorized actor.</t>
        </is>
      </c>
      <c r="F25" s="305" t="inlineStr">
        <is>
          <t>Pending</t>
        </is>
      </c>
      <c r="G25" s="305" t="n"/>
      <c r="H25" s="305" t="n"/>
      <c r="I25" s="305" t="inlineStr">
        <is>
          <t>Pending</t>
        </is>
      </c>
      <c r="J25" s="305" t="n"/>
      <c r="K25" s="305" t="n"/>
      <c r="L25" s="305" t="inlineStr">
        <is>
          <t>Pending</t>
        </is>
      </c>
      <c r="M25" s="305" t="n"/>
      <c r="N25" s="305" t="n"/>
      <c r="O25" s="305" t="inlineStr">
        <is>
          <t>Valid transition</t>
        </is>
      </c>
    </row>
    <row r="26">
      <c r="A26" s="305" t="inlineStr">
        <is>
          <t>ST-RUN-02</t>
        </is>
      </c>
      <c r="B26" s="305" t="inlineStr">
        <is>
          <t>Ready Check → Reserved</t>
        </is>
      </c>
      <c r="C26" s="305" t="inlineStr">
        <is>
          <t>Attempt transition Ready Check → Reserved.</t>
        </is>
      </c>
      <c r="D26" s="305" t="inlineStr">
        <is>
          <t>Allowed when safety checks pass</t>
        </is>
      </c>
      <c r="E26" s="305" t="inlineStr">
        <is>
          <t>Entity is in Ready Check state with a seeded authorized actor.</t>
        </is>
      </c>
      <c r="F26" s="305" t="inlineStr">
        <is>
          <t>Pending</t>
        </is>
      </c>
      <c r="G26" s="305" t="n"/>
      <c r="H26" s="305" t="n"/>
      <c r="I26" s="305" t="inlineStr">
        <is>
          <t>Pending</t>
        </is>
      </c>
      <c r="J26" s="305" t="n"/>
      <c r="K26" s="305" t="n"/>
      <c r="L26" s="305" t="inlineStr">
        <is>
          <t>Pending</t>
        </is>
      </c>
      <c r="M26" s="305" t="n"/>
      <c r="N26" s="305" t="n"/>
      <c r="O26" s="305" t="inlineStr">
        <is>
          <t>Valid transition</t>
        </is>
      </c>
    </row>
    <row r="27">
      <c r="A27" s="305" t="inlineStr">
        <is>
          <t>ST-RUN-03</t>
        </is>
      </c>
      <c r="B27" s="305" t="inlineStr">
        <is>
          <t>Ready Check → Not Ready</t>
        </is>
      </c>
      <c r="C27" s="305" t="inlineStr">
        <is>
          <t>Attempt transition Ready Check → Not Ready.</t>
        </is>
      </c>
      <c r="D27" s="305" t="inlineStr">
        <is>
          <t>Allowed when safety checks fail</t>
        </is>
      </c>
      <c r="E27" s="305" t="inlineStr">
        <is>
          <t>Entity is in Ready Check state with a seeded authorized actor.</t>
        </is>
      </c>
      <c r="F27" s="305" t="inlineStr">
        <is>
          <t>Pending</t>
        </is>
      </c>
      <c r="G27" s="305" t="n"/>
      <c r="H27" s="305" t="n"/>
      <c r="I27" s="305" t="inlineStr">
        <is>
          <t>Pending</t>
        </is>
      </c>
      <c r="J27" s="305" t="n"/>
      <c r="K27" s="305" t="n"/>
      <c r="L27" s="305" t="inlineStr">
        <is>
          <t>Pending</t>
        </is>
      </c>
      <c r="M27" s="305" t="n"/>
      <c r="N27" s="305" t="n"/>
      <c r="O27" s="305" t="inlineStr">
        <is>
          <t>Valid transition</t>
        </is>
      </c>
    </row>
    <row r="28">
      <c r="A28" s="305" t="inlineStr">
        <is>
          <t>ST-RUN-04</t>
        </is>
      </c>
      <c r="B28" s="305" t="inlineStr">
        <is>
          <t>Reserved → Executing</t>
        </is>
      </c>
      <c r="C28" s="305" t="inlineStr">
        <is>
          <t>Attempt transition Reserved → Executing.</t>
        </is>
      </c>
      <c r="D28" s="305" t="inlineStr">
        <is>
          <t>Allowed when execution begins</t>
        </is>
      </c>
      <c r="E28" s="305" t="inlineStr">
        <is>
          <t>Entity is in Reserved state with a seeded authorized actor.</t>
        </is>
      </c>
      <c r="F28" s="305" t="inlineStr">
        <is>
          <t>Pending</t>
        </is>
      </c>
      <c r="G28" s="305" t="n"/>
      <c r="H28" s="305" t="n"/>
      <c r="I28" s="305" t="inlineStr">
        <is>
          <t>Pending</t>
        </is>
      </c>
      <c r="J28" s="305" t="n"/>
      <c r="K28" s="305" t="n"/>
      <c r="L28" s="305" t="inlineStr">
        <is>
          <t>Pending</t>
        </is>
      </c>
      <c r="M28" s="305" t="n"/>
      <c r="N28" s="305" t="n"/>
      <c r="O28" s="305" t="inlineStr">
        <is>
          <t>Valid transition</t>
        </is>
      </c>
    </row>
    <row r="29">
      <c r="A29" s="305" t="inlineStr">
        <is>
          <t>ST-RUN-05</t>
        </is>
      </c>
      <c r="B29" s="305" t="inlineStr">
        <is>
          <t>Executing → Uploading Evidence</t>
        </is>
      </c>
      <c r="C29" s="305" t="inlineStr">
        <is>
          <t>Attempt transition Executing → Uploading Evidence.</t>
        </is>
      </c>
      <c r="D29" s="305" t="inlineStr">
        <is>
          <t>Allowed after task completion</t>
        </is>
      </c>
      <c r="E29" s="305" t="inlineStr">
        <is>
          <t>Entity is in Executing state with a seeded authorized actor.</t>
        </is>
      </c>
      <c r="F29" s="305" t="inlineStr">
        <is>
          <t>Pending</t>
        </is>
      </c>
      <c r="G29" s="305" t="n"/>
      <c r="H29" s="305" t="n"/>
      <c r="I29" s="305" t="inlineStr">
        <is>
          <t>Pending</t>
        </is>
      </c>
      <c r="J29" s="305" t="n"/>
      <c r="K29" s="305" t="n"/>
      <c r="L29" s="305" t="inlineStr">
        <is>
          <t>Pending</t>
        </is>
      </c>
      <c r="M29" s="305" t="n"/>
      <c r="N29" s="305" t="n"/>
      <c r="O29" s="305" t="inlineStr">
        <is>
          <t>Valid transition</t>
        </is>
      </c>
    </row>
    <row r="30">
      <c r="A30" s="305" t="inlineStr">
        <is>
          <t>ST-RUN-06</t>
        </is>
      </c>
      <c r="B30" s="305" t="inlineStr">
        <is>
          <t>Uploading Evidence → Completed</t>
        </is>
      </c>
      <c r="C30" s="305" t="inlineStr">
        <is>
          <t>Attempt transition Uploading Evidence → Completed.</t>
        </is>
      </c>
      <c r="D30" s="305" t="inlineStr">
        <is>
          <t>Allowed after artifact persistence</t>
        </is>
      </c>
      <c r="E30" s="305" t="inlineStr">
        <is>
          <t>Entity is in Uploading Evidence state with a seeded authorized actor.</t>
        </is>
      </c>
      <c r="F30" s="305" t="inlineStr">
        <is>
          <t>Pending</t>
        </is>
      </c>
      <c r="G30" s="305" t="n"/>
      <c r="H30" s="305" t="n"/>
      <c r="I30" s="305" t="inlineStr">
        <is>
          <t>Pending</t>
        </is>
      </c>
      <c r="J30" s="305" t="n"/>
      <c r="K30" s="305" t="n"/>
      <c r="L30" s="305" t="inlineStr">
        <is>
          <t>Pending</t>
        </is>
      </c>
      <c r="M30" s="305" t="n"/>
      <c r="N30" s="305" t="n"/>
      <c r="O30" s="305" t="inlineStr">
        <is>
          <t>Valid transition</t>
        </is>
      </c>
    </row>
    <row r="31">
      <c r="A31" s="305" t="inlineStr">
        <is>
          <t>ST-RUN-07</t>
        </is>
      </c>
      <c r="B31" s="305" t="inlineStr">
        <is>
          <t>Executing → Stopped</t>
        </is>
      </c>
      <c r="C31" s="305" t="inlineStr">
        <is>
          <t>Attempt transition Executing → Stopped.</t>
        </is>
      </c>
      <c r="D31" s="305" t="inlineStr">
        <is>
          <t>Allowed on emergency stop</t>
        </is>
      </c>
      <c r="E31" s="305" t="inlineStr">
        <is>
          <t>Entity is in Executing state with a seeded authorized actor.</t>
        </is>
      </c>
      <c r="F31" s="305" t="inlineStr">
        <is>
          <t>Pending</t>
        </is>
      </c>
      <c r="G31" s="305" t="n"/>
      <c r="H31" s="305" t="n"/>
      <c r="I31" s="305" t="inlineStr">
        <is>
          <t>Pending</t>
        </is>
      </c>
      <c r="J31" s="305" t="n"/>
      <c r="K31" s="305" t="n"/>
      <c r="L31" s="305" t="inlineStr">
        <is>
          <t>Pending</t>
        </is>
      </c>
      <c r="M31" s="305" t="n"/>
      <c r="N31" s="305" t="n"/>
      <c r="O31" s="305" t="inlineStr">
        <is>
          <t>Valid transition</t>
        </is>
      </c>
    </row>
    <row r="32">
      <c r="A32" s="305" t="inlineStr">
        <is>
          <t>ST-RUN-08</t>
        </is>
      </c>
      <c r="B32" s="305" t="inlineStr">
        <is>
          <t>Executing → Failed</t>
        </is>
      </c>
      <c r="C32" s="305" t="inlineStr">
        <is>
          <t>Attempt transition Executing → Failed.</t>
        </is>
      </c>
      <c r="D32" s="305" t="inlineStr">
        <is>
          <t>Allowed on execution error</t>
        </is>
      </c>
      <c r="E32" s="305" t="inlineStr">
        <is>
          <t>Entity is in Executing state with a seeded authorized actor.</t>
        </is>
      </c>
      <c r="F32" s="305" t="inlineStr">
        <is>
          <t>Pending</t>
        </is>
      </c>
      <c r="G32" s="305" t="n"/>
      <c r="H32" s="305" t="n"/>
      <c r="I32" s="305" t="inlineStr">
        <is>
          <t>Pending</t>
        </is>
      </c>
      <c r="J32" s="305" t="n"/>
      <c r="K32" s="305" t="n"/>
      <c r="L32" s="305" t="inlineStr">
        <is>
          <t>Pending</t>
        </is>
      </c>
      <c r="M32" s="305" t="n"/>
      <c r="N32" s="305" t="n"/>
      <c r="O32" s="305" t="inlineStr">
        <is>
          <t>Valid transition</t>
        </is>
      </c>
    </row>
    <row r="33">
      <c r="A33" s="305" t="inlineStr">
        <is>
          <t>ST-RUN-09</t>
        </is>
      </c>
      <c r="B33" s="305" t="inlineStr">
        <is>
          <t>Not Ready → Idle</t>
        </is>
      </c>
      <c r="C33" s="305" t="inlineStr">
        <is>
          <t>Attempt transition Not Ready → Idle.</t>
        </is>
      </c>
      <c r="D33" s="305" t="inlineStr">
        <is>
          <t>Allowed after reset/retry</t>
        </is>
      </c>
      <c r="E33" s="305" t="inlineStr">
        <is>
          <t>Entity is in Not Ready state with a seeded authorized actor.</t>
        </is>
      </c>
      <c r="F33" s="305" t="inlineStr">
        <is>
          <t>Pending</t>
        </is>
      </c>
      <c r="G33" s="305" t="n"/>
      <c r="H33" s="305" t="n"/>
      <c r="I33" s="305" t="inlineStr">
        <is>
          <t>Pending</t>
        </is>
      </c>
      <c r="J33" s="305" t="n"/>
      <c r="K33" s="305" t="n"/>
      <c r="L33" s="305" t="inlineStr">
        <is>
          <t>Pending</t>
        </is>
      </c>
      <c r="M33" s="305" t="n"/>
      <c r="N33" s="305" t="n"/>
      <c r="O33" s="305" t="inlineStr">
        <is>
          <t>Valid transition</t>
        </is>
      </c>
    </row>
    <row r="34">
      <c r="A34" s="305" t="inlineStr">
        <is>
          <t>ST-RUN-10</t>
        </is>
      </c>
      <c r="B34" s="305" t="inlineStr">
        <is>
          <t>Stopped → Idle</t>
        </is>
      </c>
      <c r="C34" s="305" t="inlineStr">
        <is>
          <t>Attempt transition Stopped → Idle.</t>
        </is>
      </c>
      <c r="D34" s="305" t="inlineStr">
        <is>
          <t>Allowed after resource release</t>
        </is>
      </c>
      <c r="E34" s="305" t="inlineStr">
        <is>
          <t>Entity is in Stopped state with a seeded authorized actor.</t>
        </is>
      </c>
      <c r="F34" s="305" t="inlineStr">
        <is>
          <t>Pending</t>
        </is>
      </c>
      <c r="G34" s="305" t="n"/>
      <c r="H34" s="305" t="n"/>
      <c r="I34" s="305" t="inlineStr">
        <is>
          <t>Pending</t>
        </is>
      </c>
      <c r="J34" s="305" t="n"/>
      <c r="K34" s="305" t="n"/>
      <c r="L34" s="305" t="inlineStr">
        <is>
          <t>Pending</t>
        </is>
      </c>
      <c r="M34" s="305" t="n"/>
      <c r="N34" s="305" t="n"/>
      <c r="O34" s="305" t="inlineStr">
        <is>
          <t>Valid transition</t>
        </is>
      </c>
    </row>
    <row r="35">
      <c r="A35" s="305" t="inlineStr">
        <is>
          <t>ST-RUN-11</t>
        </is>
      </c>
      <c r="B35" s="305" t="inlineStr">
        <is>
          <t>Failed → Idle</t>
        </is>
      </c>
      <c r="C35" s="305" t="inlineStr">
        <is>
          <t>Attempt transition Failed → Idle.</t>
        </is>
      </c>
      <c r="D35" s="305" t="inlineStr">
        <is>
          <t>Allowed after recovery/release</t>
        </is>
      </c>
      <c r="E35" s="305" t="inlineStr">
        <is>
          <t>Entity is in Failed state with a seeded authorized actor.</t>
        </is>
      </c>
      <c r="F35" s="305" t="inlineStr">
        <is>
          <t>Pending</t>
        </is>
      </c>
      <c r="G35" s="305" t="n"/>
      <c r="H35" s="305" t="n"/>
      <c r="I35" s="305" t="inlineStr">
        <is>
          <t>Pending</t>
        </is>
      </c>
      <c r="J35" s="305" t="n"/>
      <c r="K35" s="305" t="n"/>
      <c r="L35" s="305" t="inlineStr">
        <is>
          <t>Pending</t>
        </is>
      </c>
      <c r="M35" s="305" t="n"/>
      <c r="N35" s="305" t="n"/>
      <c r="O35" s="305" t="inlineStr">
        <is>
          <t>Valid transition</t>
        </is>
      </c>
    </row>
    <row r="36">
      <c r="A36" s="305" t="inlineStr">
        <is>
          <t>ST-RUN-12</t>
        </is>
      </c>
      <c r="B36" s="305" t="inlineStr">
        <is>
          <t>Completed → Idle</t>
        </is>
      </c>
      <c r="C36" s="305" t="inlineStr">
        <is>
          <t>Attempt transition Completed → Idle.</t>
        </is>
      </c>
      <c r="D36" s="305" t="inlineStr">
        <is>
          <t>Allowed when session closes</t>
        </is>
      </c>
      <c r="E36" s="305" t="inlineStr">
        <is>
          <t>Entity is in Completed state with a seeded authorized actor.</t>
        </is>
      </c>
      <c r="F36" s="305" t="inlineStr">
        <is>
          <t>Pending</t>
        </is>
      </c>
      <c r="G36" s="305" t="n"/>
      <c r="H36" s="305" t="n"/>
      <c r="I36" s="305" t="inlineStr">
        <is>
          <t>Pending</t>
        </is>
      </c>
      <c r="J36" s="305" t="n"/>
      <c r="K36" s="305" t="n"/>
      <c r="L36" s="305" t="inlineStr">
        <is>
          <t>Pending</t>
        </is>
      </c>
      <c r="M36" s="305" t="n"/>
      <c r="N36" s="305" t="n"/>
      <c r="O36" s="305" t="inlineStr">
        <is>
          <t>Valid transition</t>
        </is>
      </c>
    </row>
    <row r="37">
      <c r="A37" s="305" t="inlineStr">
        <is>
          <t>ST-RUN-13</t>
        </is>
      </c>
      <c r="B37" s="305" t="inlineStr">
        <is>
          <t>Idle → Executing</t>
        </is>
      </c>
      <c r="C37" s="305" t="inlineStr">
        <is>
          <t>Attempt transition Idle → Executing.</t>
        </is>
      </c>
      <c r="D37" s="305" t="inlineStr">
        <is>
          <t>Rejected because readiness/reservation were skipped</t>
        </is>
      </c>
      <c r="E37" s="305" t="inlineStr">
        <is>
          <t>Entity is in Idle state with a seeded authorized actor.</t>
        </is>
      </c>
      <c r="F37" s="305" t="inlineStr">
        <is>
          <t>Pending</t>
        </is>
      </c>
      <c r="G37" s="305" t="n"/>
      <c r="H37" s="305" t="n"/>
      <c r="I37" s="305" t="inlineStr">
        <is>
          <t>Pending</t>
        </is>
      </c>
      <c r="J37" s="305" t="n"/>
      <c r="K37" s="305" t="n"/>
      <c r="L37" s="305" t="inlineStr">
        <is>
          <t>Pending</t>
        </is>
      </c>
      <c r="M37" s="305" t="n"/>
      <c r="N37" s="305" t="n"/>
      <c r="O37" s="305" t="inlineStr">
        <is>
          <t>Invalid transition; rejection required</t>
        </is>
      </c>
    </row>
    <row r="38">
      <c r="A38" s="305" t="inlineStr">
        <is>
          <t>ST-RUN-14</t>
        </is>
      </c>
      <c r="B38" s="305" t="inlineStr">
        <is>
          <t>Completed → Executing</t>
        </is>
      </c>
      <c r="C38" s="305" t="inlineStr">
        <is>
          <t>Attempt transition Completed → Executing.</t>
        </is>
      </c>
      <c r="D38" s="305" t="inlineStr">
        <is>
          <t>Rejected because a new authorized session is required</t>
        </is>
      </c>
      <c r="E38" s="305" t="inlineStr">
        <is>
          <t>Entity is in Completed state with a seeded authorized actor.</t>
        </is>
      </c>
      <c r="F38" s="305" t="inlineStr">
        <is>
          <t>Pending</t>
        </is>
      </c>
      <c r="G38" s="305" t="n"/>
      <c r="H38" s="305" t="n"/>
      <c r="I38" s="305" t="inlineStr">
        <is>
          <t>Pending</t>
        </is>
      </c>
      <c r="J38" s="305" t="n"/>
      <c r="K38" s="305" t="n"/>
      <c r="L38" s="305" t="inlineStr">
        <is>
          <t>Pending</t>
        </is>
      </c>
      <c r="M38" s="305" t="n"/>
      <c r="N38" s="305" t="n"/>
      <c r="O38" s="305" t="inlineStr">
        <is>
          <t>Invalid transition; rejection required</t>
        </is>
      </c>
    </row>
    <row r="39">
      <c r="A39" s="305" t="inlineStr">
        <is>
          <t>ST-SUB-01</t>
        </is>
      </c>
      <c r="B39" s="305" t="inlineStr">
        <is>
          <t>Draft → In Progress</t>
        </is>
      </c>
      <c r="C39" s="305" t="inlineStr">
        <is>
          <t>Attempt transition Draft → In Progress.</t>
        </is>
      </c>
      <c r="D39" s="305" t="inlineStr">
        <is>
          <t>Allowed when learner starts work</t>
        </is>
      </c>
      <c r="E39" s="305" t="inlineStr">
        <is>
          <t>Entity is in Draft state with a seeded authorized actor.</t>
        </is>
      </c>
      <c r="F39" s="305" t="inlineStr">
        <is>
          <t>Pending</t>
        </is>
      </c>
      <c r="G39" s="305" t="n"/>
      <c r="H39" s="305" t="n"/>
      <c r="I39" s="305" t="inlineStr">
        <is>
          <t>Pending</t>
        </is>
      </c>
      <c r="J39" s="305" t="n"/>
      <c r="K39" s="305" t="n"/>
      <c r="L39" s="305" t="inlineStr">
        <is>
          <t>Pending</t>
        </is>
      </c>
      <c r="M39" s="305" t="n"/>
      <c r="N39" s="305" t="n"/>
      <c r="O39" s="305" t="inlineStr">
        <is>
          <t>Valid transition</t>
        </is>
      </c>
    </row>
    <row r="40">
      <c r="A40" s="305" t="inlineStr">
        <is>
          <t>ST-SUB-02</t>
        </is>
      </c>
      <c r="B40" s="305" t="inlineStr">
        <is>
          <t>In Progress → Submitted</t>
        </is>
      </c>
      <c r="C40" s="305" t="inlineStr">
        <is>
          <t>Attempt transition In Progress → Submitted.</t>
        </is>
      </c>
      <c r="D40" s="305" t="inlineStr">
        <is>
          <t>Allowed on eligible submission</t>
        </is>
      </c>
      <c r="E40" s="305" t="inlineStr">
        <is>
          <t>Entity is in In Progress state with a seeded authorized actor.</t>
        </is>
      </c>
      <c r="F40" s="305" t="inlineStr">
        <is>
          <t>Pending</t>
        </is>
      </c>
      <c r="G40" s="305" t="n"/>
      <c r="H40" s="305" t="n"/>
      <c r="I40" s="305" t="inlineStr">
        <is>
          <t>Pending</t>
        </is>
      </c>
      <c r="J40" s="305" t="n"/>
      <c r="K40" s="305" t="n"/>
      <c r="L40" s="305" t="inlineStr">
        <is>
          <t>Pending</t>
        </is>
      </c>
      <c r="M40" s="305" t="n"/>
      <c r="N40" s="305" t="n"/>
      <c r="O40" s="305" t="inlineStr">
        <is>
          <t>Valid transition</t>
        </is>
      </c>
    </row>
    <row r="41">
      <c r="A41" s="305" t="inlineStr">
        <is>
          <t>ST-SUB-03</t>
        </is>
      </c>
      <c r="B41" s="305" t="inlineStr">
        <is>
          <t>Submitted → Under Review</t>
        </is>
      </c>
      <c r="C41" s="305" t="inlineStr">
        <is>
          <t>Attempt transition Submitted → Under Review.</t>
        </is>
      </c>
      <c r="D41" s="305" t="inlineStr">
        <is>
          <t>Allowed when authorized teacher opens review</t>
        </is>
      </c>
      <c r="E41" s="305" t="inlineStr">
        <is>
          <t>Entity is in Submitted state with a seeded authorized actor.</t>
        </is>
      </c>
      <c r="F41" s="305" t="inlineStr">
        <is>
          <t>Pending</t>
        </is>
      </c>
      <c r="G41" s="305" t="n"/>
      <c r="H41" s="305" t="n"/>
      <c r="I41" s="305" t="inlineStr">
        <is>
          <t>Pending</t>
        </is>
      </c>
      <c r="J41" s="305" t="n"/>
      <c r="K41" s="305" t="n"/>
      <c r="L41" s="305" t="inlineStr">
        <is>
          <t>Pending</t>
        </is>
      </c>
      <c r="M41" s="305" t="n"/>
      <c r="N41" s="305" t="n"/>
      <c r="O41" s="305" t="inlineStr">
        <is>
          <t>Valid transition</t>
        </is>
      </c>
    </row>
    <row r="42">
      <c r="A42" s="305" t="inlineStr">
        <is>
          <t>ST-SUB-04</t>
        </is>
      </c>
      <c r="B42" s="305" t="inlineStr">
        <is>
          <t>Under Review → Accepted</t>
        </is>
      </c>
      <c r="C42" s="305" t="inlineStr">
        <is>
          <t>Attempt transition Under Review → Accepted.</t>
        </is>
      </c>
      <c r="D42" s="305" t="inlineStr">
        <is>
          <t>Allowed when criteria are met</t>
        </is>
      </c>
      <c r="E42" s="305" t="inlineStr">
        <is>
          <t>Entity is in Under Review state with a seeded authorized actor.</t>
        </is>
      </c>
      <c r="F42" s="305" t="inlineStr">
        <is>
          <t>Pending</t>
        </is>
      </c>
      <c r="G42" s="305" t="n"/>
      <c r="H42" s="305" t="n"/>
      <c r="I42" s="305" t="inlineStr">
        <is>
          <t>Pending</t>
        </is>
      </c>
      <c r="J42" s="305" t="n"/>
      <c r="K42" s="305" t="n"/>
      <c r="L42" s="305" t="inlineStr">
        <is>
          <t>Pending</t>
        </is>
      </c>
      <c r="M42" s="305" t="n"/>
      <c r="N42" s="305" t="n"/>
      <c r="O42" s="305" t="inlineStr">
        <is>
          <t>Valid transition</t>
        </is>
      </c>
    </row>
    <row r="43">
      <c r="A43" s="305" t="inlineStr">
        <is>
          <t>ST-SUB-05</t>
        </is>
      </c>
      <c r="B43" s="305" t="inlineStr">
        <is>
          <t>Under Review → Returned</t>
        </is>
      </c>
      <c r="C43" s="305" t="inlineStr">
        <is>
          <t>Attempt transition Under Review → Returned.</t>
        </is>
      </c>
      <c r="D43" s="305" t="inlineStr">
        <is>
          <t>Allowed when revision is requested</t>
        </is>
      </c>
      <c r="E43" s="305" t="inlineStr">
        <is>
          <t>Entity is in Under Review state with a seeded authorized actor.</t>
        </is>
      </c>
      <c r="F43" s="305" t="inlineStr">
        <is>
          <t>Pending</t>
        </is>
      </c>
      <c r="G43" s="305" t="n"/>
      <c r="H43" s="305" t="n"/>
      <c r="I43" s="305" t="inlineStr">
        <is>
          <t>Pending</t>
        </is>
      </c>
      <c r="J43" s="305" t="n"/>
      <c r="K43" s="305" t="n"/>
      <c r="L43" s="305" t="inlineStr">
        <is>
          <t>Pending</t>
        </is>
      </c>
      <c r="M43" s="305" t="n"/>
      <c r="N43" s="305" t="n"/>
      <c r="O43" s="305" t="inlineStr">
        <is>
          <t>Valid transition</t>
        </is>
      </c>
    </row>
    <row r="44">
      <c r="A44" s="305" t="inlineStr">
        <is>
          <t>ST-SUB-06</t>
        </is>
      </c>
      <c r="B44" s="305" t="inlineStr">
        <is>
          <t>Under Review → Rejected</t>
        </is>
      </c>
      <c r="C44" s="305" t="inlineStr">
        <is>
          <t>Attempt transition Under Review → Rejected.</t>
        </is>
      </c>
      <c r="D44" s="305" t="inlineStr">
        <is>
          <t>Allowed for invalid/late submission under agreed rule</t>
        </is>
      </c>
      <c r="E44" s="305" t="inlineStr">
        <is>
          <t>Entity is in Under Review state with a seeded authorized actor.</t>
        </is>
      </c>
      <c r="F44" s="305" t="inlineStr">
        <is>
          <t>Pending</t>
        </is>
      </c>
      <c r="G44" s="305" t="n"/>
      <c r="H44" s="305" t="n"/>
      <c r="I44" s="305" t="inlineStr">
        <is>
          <t>Pending</t>
        </is>
      </c>
      <c r="J44" s="305" t="n"/>
      <c r="K44" s="305" t="n"/>
      <c r="L44" s="305" t="inlineStr">
        <is>
          <t>Pending</t>
        </is>
      </c>
      <c r="M44" s="305" t="n"/>
      <c r="N44" s="305" t="n"/>
      <c r="O44" s="305" t="inlineStr">
        <is>
          <t>Valid transition</t>
        </is>
      </c>
    </row>
    <row r="45">
      <c r="A45" s="305" t="inlineStr">
        <is>
          <t>ST-SUB-07</t>
        </is>
      </c>
      <c r="B45" s="305" t="inlineStr">
        <is>
          <t>Accepted → Published Feedback</t>
        </is>
      </c>
      <c r="C45" s="305" t="inlineStr">
        <is>
          <t>Attempt transition Accepted → Published Feedback.</t>
        </is>
      </c>
      <c r="D45" s="305" t="inlineStr">
        <is>
          <t>Allowed when assessment is released</t>
        </is>
      </c>
      <c r="E45" s="305" t="inlineStr">
        <is>
          <t>Entity is in Accepted state with a seeded authorized actor.</t>
        </is>
      </c>
      <c r="F45" s="305" t="inlineStr">
        <is>
          <t>Pending</t>
        </is>
      </c>
      <c r="G45" s="305" t="n"/>
      <c r="H45" s="305" t="n"/>
      <c r="I45" s="305" t="inlineStr">
        <is>
          <t>Pending</t>
        </is>
      </c>
      <c r="J45" s="305" t="n"/>
      <c r="K45" s="305" t="n"/>
      <c r="L45" s="305" t="inlineStr">
        <is>
          <t>Pending</t>
        </is>
      </c>
      <c r="M45" s="305" t="n"/>
      <c r="N45" s="305" t="n"/>
      <c r="O45" s="305" t="inlineStr">
        <is>
          <t>Valid transition</t>
        </is>
      </c>
    </row>
    <row r="46">
      <c r="A46" s="305" t="inlineStr">
        <is>
          <t>ST-SUB-08</t>
        </is>
      </c>
      <c r="B46" s="305" t="inlineStr">
        <is>
          <t>Returned → In Progress</t>
        </is>
      </c>
      <c r="C46" s="305" t="inlineStr">
        <is>
          <t>Attempt transition Returned → In Progress.</t>
        </is>
      </c>
      <c r="D46" s="305" t="inlineStr">
        <is>
          <t>Allowed for resubmission</t>
        </is>
      </c>
      <c r="E46" s="305" t="inlineStr">
        <is>
          <t>Entity is in Returned state with a seeded authorized actor.</t>
        </is>
      </c>
      <c r="F46" s="305" t="inlineStr">
        <is>
          <t>Pending</t>
        </is>
      </c>
      <c r="G46" s="305" t="n"/>
      <c r="H46" s="305" t="n"/>
      <c r="I46" s="305" t="inlineStr">
        <is>
          <t>Pending</t>
        </is>
      </c>
      <c r="J46" s="305" t="n"/>
      <c r="K46" s="305" t="n"/>
      <c r="L46" s="305" t="inlineStr">
        <is>
          <t>Pending</t>
        </is>
      </c>
      <c r="M46" s="305" t="n"/>
      <c r="N46" s="305" t="n"/>
      <c r="O46" s="305" t="inlineStr">
        <is>
          <t>Valid transition</t>
        </is>
      </c>
    </row>
    <row r="47">
      <c r="A47" s="305" t="inlineStr">
        <is>
          <t>ST-SUB-09</t>
        </is>
      </c>
      <c r="B47" s="305" t="inlineStr">
        <is>
          <t>Rejected → Published Feedback</t>
        </is>
      </c>
      <c r="C47" s="305" t="inlineStr">
        <is>
          <t>Attempt transition Rejected → Published Feedback.</t>
        </is>
      </c>
      <c r="D47" s="305" t="inlineStr">
        <is>
          <t>Allowed when rejection feedback is released</t>
        </is>
      </c>
      <c r="E47" s="305" t="inlineStr">
        <is>
          <t>Entity is in Rejected state with a seeded authorized actor.</t>
        </is>
      </c>
      <c r="F47" s="305" t="inlineStr">
        <is>
          <t>Pending</t>
        </is>
      </c>
      <c r="G47" s="305" t="n"/>
      <c r="H47" s="305" t="n"/>
      <c r="I47" s="305" t="inlineStr">
        <is>
          <t>Pending</t>
        </is>
      </c>
      <c r="J47" s="305" t="n"/>
      <c r="K47" s="305" t="n"/>
      <c r="L47" s="305" t="inlineStr">
        <is>
          <t>Pending</t>
        </is>
      </c>
      <c r="M47" s="305" t="n"/>
      <c r="N47" s="305" t="n"/>
      <c r="O47" s="305" t="inlineStr">
        <is>
          <t>Valid transition</t>
        </is>
      </c>
    </row>
    <row r="48">
      <c r="A48" s="305" t="inlineStr">
        <is>
          <t>ST-SUB-10</t>
        </is>
      </c>
      <c r="B48" s="305" t="inlineStr">
        <is>
          <t>Draft → Accepted</t>
        </is>
      </c>
      <c r="C48" s="305" t="inlineStr">
        <is>
          <t>Attempt transition Draft → Accepted.</t>
        </is>
      </c>
      <c r="D48" s="305" t="inlineStr">
        <is>
          <t>Rejected because submission/review were skipped</t>
        </is>
      </c>
      <c r="E48" s="305" t="inlineStr">
        <is>
          <t>Entity is in Draft state with a seeded authorized actor.</t>
        </is>
      </c>
      <c r="F48" s="305" t="inlineStr">
        <is>
          <t>Pending</t>
        </is>
      </c>
      <c r="G48" s="305" t="n"/>
      <c r="H48" s="305" t="n"/>
      <c r="I48" s="305" t="inlineStr">
        <is>
          <t>Pending</t>
        </is>
      </c>
      <c r="J48" s="305" t="n"/>
      <c r="K48" s="305" t="n"/>
      <c r="L48" s="305" t="inlineStr">
        <is>
          <t>Pending</t>
        </is>
      </c>
      <c r="M48" s="305" t="n"/>
      <c r="N48" s="305" t="n"/>
      <c r="O48" s="305" t="inlineStr">
        <is>
          <t>Invalid transition; rejection required</t>
        </is>
      </c>
    </row>
    <row r="49">
      <c r="A49" s="305" t="inlineStr">
        <is>
          <t>ST-SUB-11</t>
        </is>
      </c>
      <c r="B49" s="305" t="inlineStr">
        <is>
          <t>Published Feedback → In Progress</t>
        </is>
      </c>
      <c r="C49" s="305" t="inlineStr">
        <is>
          <t>Attempt transition Published Feedback → In Progress.</t>
        </is>
      </c>
      <c r="D49" s="305" t="inlineStr">
        <is>
          <t>Rejected unless a new attempt is created</t>
        </is>
      </c>
      <c r="E49" s="305" t="inlineStr">
        <is>
          <t>Entity is in Published Feedback state with a seeded authorized actor.</t>
        </is>
      </c>
      <c r="F49" s="305" t="inlineStr">
        <is>
          <t>Pending</t>
        </is>
      </c>
      <c r="G49" s="305" t="n"/>
      <c r="H49" s="305" t="n"/>
      <c r="I49" s="305" t="inlineStr">
        <is>
          <t>Pending</t>
        </is>
      </c>
      <c r="J49" s="305" t="n"/>
      <c r="K49" s="305" t="n"/>
      <c r="L49" s="305" t="inlineStr">
        <is>
          <t>Pending</t>
        </is>
      </c>
      <c r="M49" s="305" t="n"/>
      <c r="N49" s="305" t="n"/>
      <c r="O49" s="305" t="inlineStr">
        <is>
          <t>Invalid transition; rejection required</t>
        </is>
      </c>
    </row>
    <row r="50">
      <c r="A50" s="305" t="inlineStr">
        <is>
          <t>ST-ASG-01</t>
        </is>
      </c>
      <c r="B50" s="305" t="inlineStr">
        <is>
          <t>Draft → Scheduled</t>
        </is>
      </c>
      <c r="C50" s="305" t="inlineStr">
        <is>
          <t>Attempt transition Draft → Scheduled.</t>
        </is>
      </c>
      <c r="D50" s="305" t="inlineStr">
        <is>
          <t>Allowed when teacher schedules work</t>
        </is>
      </c>
      <c r="E50" s="305" t="inlineStr">
        <is>
          <t>Entity is in Draft state with a seeded authorized actor.</t>
        </is>
      </c>
      <c r="F50" s="305" t="inlineStr">
        <is>
          <t>Pending</t>
        </is>
      </c>
      <c r="G50" s="305" t="n"/>
      <c r="H50" s="305" t="n"/>
      <c r="I50" s="305" t="inlineStr">
        <is>
          <t>Pending</t>
        </is>
      </c>
      <c r="J50" s="305" t="n"/>
      <c r="K50" s="305" t="n"/>
      <c r="L50" s="305" t="inlineStr">
        <is>
          <t>Pending</t>
        </is>
      </c>
      <c r="M50" s="305" t="n"/>
      <c r="N50" s="305" t="n"/>
      <c r="O50" s="305" t="inlineStr">
        <is>
          <t>Valid transition</t>
        </is>
      </c>
    </row>
    <row r="51">
      <c r="A51" s="305" t="inlineStr">
        <is>
          <t>ST-ASG-02</t>
        </is>
      </c>
      <c r="B51" s="305" t="inlineStr">
        <is>
          <t>Scheduled → Published</t>
        </is>
      </c>
      <c r="C51" s="305" t="inlineStr">
        <is>
          <t>Attempt transition Scheduled → Published.</t>
        </is>
      </c>
      <c r="D51" s="305" t="inlineStr">
        <is>
          <t>Allowed on publish action</t>
        </is>
      </c>
      <c r="E51" s="305" t="inlineStr">
        <is>
          <t>Entity is in Scheduled state with a seeded authorized actor.</t>
        </is>
      </c>
      <c r="F51" s="305" t="inlineStr">
        <is>
          <t>Pending</t>
        </is>
      </c>
      <c r="G51" s="305" t="n"/>
      <c r="H51" s="305" t="n"/>
      <c r="I51" s="305" t="inlineStr">
        <is>
          <t>Pending</t>
        </is>
      </c>
      <c r="J51" s="305" t="n"/>
      <c r="K51" s="305" t="n"/>
      <c r="L51" s="305" t="inlineStr">
        <is>
          <t>Pending</t>
        </is>
      </c>
      <c r="M51" s="305" t="n"/>
      <c r="N51" s="305" t="n"/>
      <c r="O51" s="305" t="inlineStr">
        <is>
          <t>Valid transition</t>
        </is>
      </c>
    </row>
    <row r="52">
      <c r="A52" s="305" t="inlineStr">
        <is>
          <t>ST-ASG-03</t>
        </is>
      </c>
      <c r="B52" s="305" t="inlineStr">
        <is>
          <t>Published → Open</t>
        </is>
      </c>
      <c r="C52" s="305" t="inlineStr">
        <is>
          <t>Attempt transition Published → Open.</t>
        </is>
      </c>
      <c r="D52" s="305" t="inlineStr">
        <is>
          <t>Allowed when availability begins</t>
        </is>
      </c>
      <c r="E52" s="305" t="inlineStr">
        <is>
          <t>Entity is in Published state with a seeded authorized actor.</t>
        </is>
      </c>
      <c r="F52" s="305" t="inlineStr">
        <is>
          <t>Pending</t>
        </is>
      </c>
      <c r="G52" s="305" t="n"/>
      <c r="H52" s="305" t="n"/>
      <c r="I52" s="305" t="inlineStr">
        <is>
          <t>Pending</t>
        </is>
      </c>
      <c r="J52" s="305" t="n"/>
      <c r="K52" s="305" t="n"/>
      <c r="L52" s="305" t="inlineStr">
        <is>
          <t>Pending</t>
        </is>
      </c>
      <c r="M52" s="305" t="n"/>
      <c r="N52" s="305" t="n"/>
      <c r="O52" s="305" t="inlineStr">
        <is>
          <t>Valid transition</t>
        </is>
      </c>
    </row>
    <row r="53">
      <c r="A53" s="305" t="inlineStr">
        <is>
          <t>ST-ASG-04</t>
        </is>
      </c>
      <c r="B53" s="305" t="inlineStr">
        <is>
          <t>Open → Closed</t>
        </is>
      </c>
      <c r="C53" s="305" t="inlineStr">
        <is>
          <t>Attempt transition Open → Closed.</t>
        </is>
      </c>
      <c r="D53" s="305" t="inlineStr">
        <is>
          <t>Allowed when deadline/close time is reached</t>
        </is>
      </c>
      <c r="E53" s="305" t="inlineStr">
        <is>
          <t>Entity is in Open state with a seeded authorized actor.</t>
        </is>
      </c>
      <c r="F53" s="305" t="inlineStr">
        <is>
          <t>Pending</t>
        </is>
      </c>
      <c r="G53" s="305" t="n"/>
      <c r="H53" s="305" t="n"/>
      <c r="I53" s="305" t="inlineStr">
        <is>
          <t>Pending</t>
        </is>
      </c>
      <c r="J53" s="305" t="n"/>
      <c r="K53" s="305" t="n"/>
      <c r="L53" s="305" t="inlineStr">
        <is>
          <t>Pending</t>
        </is>
      </c>
      <c r="M53" s="305" t="n"/>
      <c r="N53" s="305" t="n"/>
      <c r="O53" s="305" t="inlineStr">
        <is>
          <t>Valid transition</t>
        </is>
      </c>
    </row>
    <row r="54">
      <c r="A54" s="305" t="inlineStr">
        <is>
          <t>ST-ASG-05</t>
        </is>
      </c>
      <c r="B54" s="305" t="inlineStr">
        <is>
          <t>Closed → Archived</t>
        </is>
      </c>
      <c r="C54" s="305" t="inlineStr">
        <is>
          <t>Attempt transition Closed → Archived.</t>
        </is>
      </c>
      <c r="D54" s="305" t="inlineStr">
        <is>
          <t>Allowed by archival action</t>
        </is>
      </c>
      <c r="E54" s="305" t="inlineStr">
        <is>
          <t>Entity is in Closed state with a seeded authorized actor.</t>
        </is>
      </c>
      <c r="F54" s="305" t="inlineStr">
        <is>
          <t>Pending</t>
        </is>
      </c>
      <c r="G54" s="305" t="n"/>
      <c r="H54" s="305" t="n"/>
      <c r="I54" s="305" t="inlineStr">
        <is>
          <t>Pending</t>
        </is>
      </c>
      <c r="J54" s="305" t="n"/>
      <c r="K54" s="305" t="n"/>
      <c r="L54" s="305" t="inlineStr">
        <is>
          <t>Pending</t>
        </is>
      </c>
      <c r="M54" s="305" t="n"/>
      <c r="N54" s="305" t="n"/>
      <c r="O54" s="305" t="inlineStr">
        <is>
          <t>Valid transition</t>
        </is>
      </c>
    </row>
    <row r="55">
      <c r="A55" s="305" t="inlineStr">
        <is>
          <t>ST-ASG-06</t>
        </is>
      </c>
      <c r="B55" s="305" t="inlineStr">
        <is>
          <t>Scheduled → Cancelled</t>
        </is>
      </c>
      <c r="C55" s="305" t="inlineStr">
        <is>
          <t>Attempt transition Scheduled → Cancelled.</t>
        </is>
      </c>
      <c r="D55" s="305" t="inlineStr">
        <is>
          <t>Allowed before publication</t>
        </is>
      </c>
      <c r="E55" s="305" t="inlineStr">
        <is>
          <t>Entity is in Scheduled state with a seeded authorized actor.</t>
        </is>
      </c>
      <c r="F55" s="305" t="inlineStr">
        <is>
          <t>Pending</t>
        </is>
      </c>
      <c r="G55" s="305" t="n"/>
      <c r="H55" s="305" t="n"/>
      <c r="I55" s="305" t="inlineStr">
        <is>
          <t>Pending</t>
        </is>
      </c>
      <c r="J55" s="305" t="n"/>
      <c r="K55" s="305" t="n"/>
      <c r="L55" s="305" t="inlineStr">
        <is>
          <t>Pending</t>
        </is>
      </c>
      <c r="M55" s="305" t="n"/>
      <c r="N55" s="305" t="n"/>
      <c r="O55" s="305" t="inlineStr">
        <is>
          <t>Valid transition</t>
        </is>
      </c>
    </row>
    <row r="56">
      <c r="A56" s="305" t="inlineStr">
        <is>
          <t>ST-ASG-07</t>
        </is>
      </c>
      <c r="B56" s="305" t="inlineStr">
        <is>
          <t>Published → Cancelled</t>
        </is>
      </c>
      <c r="C56" s="305" t="inlineStr">
        <is>
          <t>Attempt transition Published → Cancelled.</t>
        </is>
      </c>
      <c r="D56" s="305" t="inlineStr">
        <is>
          <t>Allowed on withdrawal under agreed rule</t>
        </is>
      </c>
      <c r="E56" s="305" t="inlineStr">
        <is>
          <t>Entity is in Published state with a seeded authorized actor.</t>
        </is>
      </c>
      <c r="F56" s="305" t="inlineStr">
        <is>
          <t>Pending</t>
        </is>
      </c>
      <c r="G56" s="305" t="n"/>
      <c r="H56" s="305" t="n"/>
      <c r="I56" s="305" t="inlineStr">
        <is>
          <t>Pending</t>
        </is>
      </c>
      <c r="J56" s="305" t="n"/>
      <c r="K56" s="305" t="n"/>
      <c r="L56" s="305" t="inlineStr">
        <is>
          <t>Pending</t>
        </is>
      </c>
      <c r="M56" s="305" t="n"/>
      <c r="N56" s="305" t="n"/>
      <c r="O56" s="305" t="inlineStr">
        <is>
          <t>Valid transition</t>
        </is>
      </c>
    </row>
    <row r="57">
      <c r="A57" s="305" t="inlineStr">
        <is>
          <t>ST-ASG-08</t>
        </is>
      </c>
      <c r="B57" s="305" t="inlineStr">
        <is>
          <t>Cancelled → Archived</t>
        </is>
      </c>
      <c r="C57" s="305" t="inlineStr">
        <is>
          <t>Attempt transition Cancelled → Archived.</t>
        </is>
      </c>
      <c r="D57" s="305" t="inlineStr">
        <is>
          <t>Allowed after record retention</t>
        </is>
      </c>
      <c r="E57" s="305" t="inlineStr">
        <is>
          <t>Entity is in Cancelled state with a seeded authorized actor.</t>
        </is>
      </c>
      <c r="F57" s="305" t="inlineStr">
        <is>
          <t>Pending</t>
        </is>
      </c>
      <c r="G57" s="305" t="n"/>
      <c r="H57" s="305" t="n"/>
      <c r="I57" s="305" t="inlineStr">
        <is>
          <t>Pending</t>
        </is>
      </c>
      <c r="J57" s="305" t="n"/>
      <c r="K57" s="305" t="n"/>
      <c r="L57" s="305" t="inlineStr">
        <is>
          <t>Pending</t>
        </is>
      </c>
      <c r="M57" s="305" t="n"/>
      <c r="N57" s="305" t="n"/>
      <c r="O57" s="305" t="inlineStr">
        <is>
          <t>Valid transition</t>
        </is>
      </c>
    </row>
    <row r="58">
      <c r="A58" s="305" t="inlineStr">
        <is>
          <t>ST-ASG-09</t>
        </is>
      </c>
      <c r="B58" s="305" t="inlineStr">
        <is>
          <t>Draft → Open</t>
        </is>
      </c>
      <c r="C58" s="305" t="inlineStr">
        <is>
          <t>Attempt transition Draft → Open.</t>
        </is>
      </c>
      <c r="D58" s="305" t="inlineStr">
        <is>
          <t>Rejected because scheduling/publication were skipped</t>
        </is>
      </c>
      <c r="E58" s="305" t="inlineStr">
        <is>
          <t>Entity is in Draft state with a seeded authorized actor.</t>
        </is>
      </c>
      <c r="F58" s="305" t="inlineStr">
        <is>
          <t>Pending</t>
        </is>
      </c>
      <c r="G58" s="305" t="n"/>
      <c r="H58" s="305" t="n"/>
      <c r="I58" s="305" t="inlineStr">
        <is>
          <t>Pending</t>
        </is>
      </c>
      <c r="J58" s="305" t="n"/>
      <c r="K58" s="305" t="n"/>
      <c r="L58" s="305" t="inlineStr">
        <is>
          <t>Pending</t>
        </is>
      </c>
      <c r="M58" s="305" t="n"/>
      <c r="N58" s="305" t="n"/>
      <c r="O58" s="305" t="inlineStr">
        <is>
          <t>Invalid transition; rejection required</t>
        </is>
      </c>
    </row>
    <row r="59">
      <c r="A59" s="305" t="inlineStr">
        <is>
          <t>ST-ASG-10</t>
        </is>
      </c>
      <c r="B59" s="305" t="inlineStr">
        <is>
          <t>Archived → Published</t>
        </is>
      </c>
      <c r="C59" s="305" t="inlineStr">
        <is>
          <t>Attempt transition Archived → Published.</t>
        </is>
      </c>
      <c r="D59" s="305" t="inlineStr">
        <is>
          <t>Rejected because archived is terminal</t>
        </is>
      </c>
      <c r="E59" s="305" t="inlineStr">
        <is>
          <t>Entity is in Archived state with a seeded authorized actor.</t>
        </is>
      </c>
      <c r="F59" s="305" t="inlineStr">
        <is>
          <t>Pending</t>
        </is>
      </c>
      <c r="G59" s="305" t="n"/>
      <c r="H59" s="305" t="n"/>
      <c r="I59" s="305" t="inlineStr">
        <is>
          <t>Pending</t>
        </is>
      </c>
      <c r="J59" s="305" t="n"/>
      <c r="K59" s="305" t="n"/>
      <c r="L59" s="305" t="inlineStr">
        <is>
          <t>Pending</t>
        </is>
      </c>
      <c r="M59" s="305" t="n"/>
      <c r="N59" s="305" t="n"/>
      <c r="O59" s="305" t="inlineStr">
        <is>
          <t>Invalid transition; rejection required</t>
        </is>
      </c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2:R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10" defaultColWidth="9" defaultRowHeight="13"/>
  <cols>
    <col width="19" customWidth="1" style="61" min="1" max="1"/>
    <col width="45" customWidth="1" style="61" min="2" max="2"/>
    <col width="62" customWidth="1" style="61" min="3" max="3"/>
    <col width="62" customWidth="1" style="61" min="4" max="4"/>
    <col width="48" customWidth="1" style="61" min="5" max="5"/>
    <col width="9.33203125" customWidth="1" style="61" min="6" max="6"/>
    <col width="10.6640625" customWidth="1" style="61" min="7" max="7"/>
    <col width="7" customWidth="1" style="61" min="8" max="8"/>
    <col width="9.33203125" customWidth="1" style="61" min="9" max="9"/>
    <col width="10.6640625" customWidth="1" style="61" min="10" max="10"/>
    <col width="7" customWidth="1" style="61" min="11" max="11"/>
    <col width="9.33203125" customWidth="1" style="61" min="12" max="12"/>
    <col width="10.6640625" customWidth="1" style="61" min="13" max="13"/>
    <col width="7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/>
    <row r="2" ht="15" customFormat="1" customHeight="1" s="32">
      <c r="A2" s="99" t="inlineStr">
        <is>
          <t>Feature</t>
        </is>
      </c>
      <c r="B2" s="308" t="inlineStr">
        <is>
          <t>NFR</t>
        </is>
      </c>
      <c r="C2" s="309" t="n"/>
      <c r="D2" s="309" t="n"/>
      <c r="E2" s="310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311" t="inlineStr">
        <is>
          <t>Six measurable non-functional requirements</t>
        </is>
      </c>
      <c r="C3" s="312" t="n"/>
      <c r="D3" s="312" t="n"/>
      <c r="E3" s="313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311">
        <f>COUNTA(A12:A998)</f>
        <v/>
      </c>
      <c r="C4" s="312" t="n"/>
      <c r="D4" s="312" t="n"/>
      <c r="E4" s="313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COUNTIF($F10:$F998,B5)</f>
        <v/>
      </c>
      <c r="C6" s="92">
        <f>COUNTIF($F10:$F998,C5)</f>
        <v/>
      </c>
      <c r="D6" s="92">
        <f>COUNTIF($F10:$F998,D5)</f>
        <v/>
      </c>
      <c r="E6" s="98">
        <f>COUNTIF($F10:$F998,E5)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COUNTIF($F10:$F998,B5)</f>
        <v/>
      </c>
      <c r="C7" s="92">
        <f>COUNTIF($F10:$F998,C5)</f>
        <v/>
      </c>
      <c r="D7" s="92">
        <f>COUNTIF($F10:$F998,D5)</f>
        <v/>
      </c>
      <c r="E7" s="98">
        <f>COUNTIF($F10:$F998,E5)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>
      <c r="A8" s="95" t="inlineStr">
        <is>
          <t>Round 3</t>
        </is>
      </c>
      <c r="B8" s="96">
        <f>COUNTIF($F10:$F998,B5)</f>
        <v/>
      </c>
      <c r="C8" s="96">
        <f>COUNTIF($F10:$F998,C5)</f>
        <v/>
      </c>
      <c r="D8" s="96">
        <f>COUNTIF($F10:$F998,D5)</f>
        <v/>
      </c>
      <c r="E8" s="97">
        <f>COUNTIF($F10:$F998,E5)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286" t="inlineStr">
        <is>
          <t>Test Case Description</t>
        </is>
      </c>
      <c r="C10" s="286" t="inlineStr">
        <is>
          <t>Test Case Procedure</t>
        </is>
      </c>
      <c r="D10" s="286" t="inlineStr">
        <is>
          <t>Expected Results</t>
        </is>
      </c>
      <c r="E10" s="286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Function A</t>
        </is>
      </c>
      <c r="B11" s="287" t="n"/>
      <c r="C11" s="288" t="n"/>
      <c r="D11" s="288" t="n"/>
      <c r="E11" s="288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ht="54" customFormat="1" customHeight="1" s="47">
      <c r="A12" s="314" t="inlineStr">
        <is>
          <t>TC-NFR01-01</t>
        </is>
      </c>
      <c r="B12" s="315" t="inlineStr">
        <is>
          <t>Authorization isolation</t>
        </is>
      </c>
      <c r="C12" s="315" t="inlineStr">
        <is>
          <t>Run the predefined cross-role and cross-organization negative suite.</t>
        </is>
      </c>
      <c r="D12" s="315" t="inlineStr">
        <is>
          <t>100% of forbidden accesses are rejected without disclosure.</t>
        </is>
      </c>
      <c r="E12" s="315" t="inlineStr">
        <is>
          <t>Two seeded organizations and all roles</t>
        </is>
      </c>
      <c r="F12" s="314" t="inlineStr">
        <is>
          <t>Pending</t>
        </is>
      </c>
      <c r="G12" s="314" t="n"/>
      <c r="H12" s="314" t="n"/>
      <c r="I12" s="314" t="inlineStr">
        <is>
          <t>Pending</t>
        </is>
      </c>
      <c r="J12" s="314" t="n"/>
      <c r="K12" s="314" t="n"/>
      <c r="L12" s="314" t="inlineStr">
        <is>
          <t>Pending</t>
        </is>
      </c>
      <c r="M12" s="314" t="n"/>
      <c r="N12" s="314" t="n"/>
      <c r="O12" s="304" t="inlineStr">
        <is>
          <t>Target; execution pending</t>
        </is>
      </c>
      <c r="Q12" s="46" t="n"/>
    </row>
    <row r="13" ht="54" customHeight="1">
      <c r="A13" s="314" t="inlineStr">
        <is>
          <t>TC-NFR02-01</t>
        </is>
      </c>
      <c r="B13" s="304" t="inlineStr">
        <is>
          <t>Runtime safety/reliability</t>
        </is>
      </c>
      <c r="C13" s="304" t="inlineStr">
        <is>
          <t>Exercise duplicate, unavailable, timeout, stop and communication-loss cases.</t>
        </is>
      </c>
      <c r="D13" s="316" t="inlineStr">
        <is>
          <t>No false successful terminal result; error/terminal evidence exists.</t>
        </is>
      </c>
      <c r="E13" s="316" t="inlineStr">
        <is>
          <t>Mock runtime; hardware test separately supervised</t>
        </is>
      </c>
      <c r="F13" s="314" t="inlineStr">
        <is>
          <t>Pending</t>
        </is>
      </c>
      <c r="G13" s="314" t="n"/>
      <c r="H13" s="314" t="n"/>
      <c r="I13" s="314" t="inlineStr">
        <is>
          <t>Pending</t>
        </is>
      </c>
      <c r="J13" s="314" t="n"/>
      <c r="K13" s="314" t="n"/>
      <c r="L13" s="314" t="inlineStr">
        <is>
          <t>Pending</t>
        </is>
      </c>
      <c r="M13" s="314" t="n"/>
      <c r="N13" s="314" t="n"/>
      <c r="O13" s="304" t="inlineStr">
        <is>
          <t>Mock portion proposed; hardware blocked</t>
        </is>
      </c>
      <c r="Q13" s="46" t="n"/>
    </row>
    <row r="14" ht="54" customHeight="1">
      <c r="A14" s="314" t="inlineStr">
        <is>
          <t>TC-NFR03-01</t>
        </is>
      </c>
      <c r="B14" s="304" t="inlineStr">
        <is>
          <t>API responsiveness</t>
        </is>
      </c>
      <c r="C14" s="304" t="inlineStr">
        <is>
          <t>Run a timestamped authenticated API load test on declared staging data.</t>
        </is>
      </c>
      <c r="D14" s="316" t="inlineStr">
        <is>
          <t>Ordinary API p95 is at most 3 seconds.</t>
        </is>
      </c>
      <c r="E14" s="316" t="inlineStr">
        <is>
          <t>Declared staging configuration and dataset</t>
        </is>
      </c>
      <c r="F14" s="314" t="inlineStr">
        <is>
          <t>Pending</t>
        </is>
      </c>
      <c r="G14" s="314" t="n"/>
      <c r="H14" s="314" t="n"/>
      <c r="I14" s="314" t="inlineStr">
        <is>
          <t>Pending</t>
        </is>
      </c>
      <c r="J14" s="314" t="n"/>
      <c r="K14" s="314" t="n"/>
      <c r="L14" s="314" t="inlineStr">
        <is>
          <t>Pending</t>
        </is>
      </c>
      <c r="M14" s="314" t="n"/>
      <c r="N14" s="314" t="n"/>
      <c r="O14" s="304" t="inlineStr">
        <is>
          <t>Target; execution pending</t>
        </is>
      </c>
      <c r="Q14" s="46" t="n"/>
    </row>
    <row r="15" ht="15.75" customFormat="1" customHeight="1" s="32">
      <c r="A15" s="317" t="inlineStr">
        <is>
          <t>TC-NFR04-01</t>
        </is>
      </c>
      <c r="B15" s="317" t="inlineStr">
        <is>
          <t>Runtime acknowledgement</t>
        </is>
      </c>
      <c r="C15" s="317" t="inlineStr">
        <is>
          <t>Measure accepted physical command to acknowledgement or explicit timeout.</t>
        </is>
      </c>
      <c r="D15" s="317" t="inlineStr">
        <is>
          <t>Acknowledgement or timeout occurs within 5 seconds.</t>
        </is>
      </c>
      <c r="E15" s="317" t="inlineStr">
        <is>
          <t>Instrumented client/runtime</t>
        </is>
      </c>
      <c r="F15" s="317" t="inlineStr">
        <is>
          <t>Pending</t>
        </is>
      </c>
      <c r="G15" s="317" t="n"/>
      <c r="H15" s="317" t="n"/>
      <c r="I15" s="317" t="inlineStr">
        <is>
          <t>Pending</t>
        </is>
      </c>
      <c r="J15" s="317" t="n"/>
      <c r="K15" s="317" t="n"/>
      <c r="L15" s="317" t="inlineStr">
        <is>
          <t>Pending</t>
        </is>
      </c>
      <c r="M15" s="317" t="n"/>
      <c r="N15" s="317" t="n"/>
      <c r="O15" s="317" t="inlineStr">
        <is>
          <t>Target; physical environment blocked</t>
        </is>
      </c>
      <c r="Q15" s="41" t="n"/>
    </row>
    <row r="16" ht="14" customHeight="1">
      <c r="A16" s="314" t="inlineStr">
        <is>
          <t>TC-NFR05-01</t>
        </is>
      </c>
      <c r="B16" s="314" t="inlineStr">
        <is>
          <t>Execution traceability</t>
        </is>
      </c>
      <c r="C16" s="314" t="inlineStr">
        <is>
          <t>Query executed runs for actor, activity, resource/configuration, timestamps and terminal state.</t>
        </is>
      </c>
      <c r="D16" s="314" t="inlineStr">
        <is>
          <t>100% of sampled executed runs contain every required field.</t>
        </is>
      </c>
      <c r="E16" s="314" t="inlineStr">
        <is>
          <t>Seeded executions</t>
        </is>
      </c>
      <c r="F16" s="314" t="inlineStr">
        <is>
          <t>Pending</t>
        </is>
      </c>
      <c r="G16" s="314" t="n"/>
      <c r="H16" s="314" t="n"/>
      <c r="I16" s="314" t="inlineStr">
        <is>
          <t>Pending</t>
        </is>
      </c>
      <c r="J16" s="314" t="n"/>
      <c r="K16" s="314" t="n"/>
      <c r="L16" s="314" t="inlineStr">
        <is>
          <t>Pending</t>
        </is>
      </c>
      <c r="M16" s="314" t="n"/>
      <c r="N16" s="314" t="n"/>
      <c r="O16" s="304" t="inlineStr">
        <is>
          <t>Target; execution pending</t>
        </is>
      </c>
      <c r="Q16" s="46" t="n"/>
    </row>
    <row r="17" ht="14" customHeight="1">
      <c r="A17" s="314" t="inlineStr">
        <is>
          <t>TC-NFR06-01</t>
        </is>
      </c>
      <c r="B17" s="314" t="inlineStr">
        <is>
          <t>Test automation</t>
        </is>
      </c>
      <c r="C17" s="314" t="inlineStr">
        <is>
          <t>Reconcile committed inventory with tagged CI logs.</t>
        </is>
      </c>
      <c r="D17" s="314" t="inlineStr">
        <is>
          <t>At least 50% automated; main workflows 100%; total pass rate at least 90%.</t>
        </is>
      </c>
      <c r="E17" s="314" t="inlineStr">
        <is>
          <t>Valid review-2 tag and CI logs</t>
        </is>
      </c>
      <c r="F17" s="314" t="inlineStr">
        <is>
          <t>Pending</t>
        </is>
      </c>
      <c r="G17" s="304" t="n"/>
      <c r="H17" s="304" t="n"/>
      <c r="I17" s="314" t="inlineStr">
        <is>
          <t>Pending</t>
        </is>
      </c>
      <c r="J17" s="304" t="n"/>
      <c r="K17" s="304" t="n"/>
      <c r="L17" s="314" t="inlineStr">
        <is>
          <t>Pending</t>
        </is>
      </c>
      <c r="M17" s="304" t="n"/>
      <c r="N17" s="304" t="n"/>
      <c r="O17" s="304" t="inlineStr">
        <is>
          <t>Target; blocked until tagged revision</t>
        </is>
      </c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291" t="n"/>
      <c r="Q19" s="46" t="n"/>
    </row>
  </sheetData>
  <mergeCells count="3">
    <mergeCell ref="B3:E3"/>
    <mergeCell ref="B2:E2"/>
    <mergeCell ref="B4:E4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2026-10-27T11:48:40Z</dcterms:created>
  <dcterms:modified xsi:type="dcterms:W3CDTF">2026-10-27T11:48:40Z</dcterms:modified>
</cp:coreProperties>
</file>